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Results" sheetId="1" r:id="rId5"/>
    <sheet state="visible" name="general_0" sheetId="2" r:id="rId6"/>
    <sheet state="visible" name="general_50" sheetId="3" r:id="rId7"/>
    <sheet state="visible" name="retrieval_0" sheetId="4" r:id="rId8"/>
    <sheet state="visible" name="retrieval_50" sheetId="5" r:id="rId9"/>
  </sheets>
  <definedNames/>
  <calcPr/>
</workbook>
</file>

<file path=xl/sharedStrings.xml><?xml version="1.0" encoding="utf-8"?>
<sst xmlns="http://schemas.openxmlformats.org/spreadsheetml/2006/main" count="936" uniqueCount="44">
  <si>
    <t>Write Functions without any network latency</t>
  </si>
  <si>
    <t>function</t>
  </si>
  <si>
    <t>load</t>
  </si>
  <si>
    <t>success</t>
  </si>
  <si>
    <t>fail</t>
  </si>
  <si>
    <t>sendRate</t>
  </si>
  <si>
    <t>maxLatency</t>
  </si>
  <si>
    <t>minLatency</t>
  </si>
  <si>
    <t>avgLatency</t>
  </si>
  <si>
    <t>throughput</t>
  </si>
  <si>
    <t>payload(Bytes)</t>
  </si>
  <si>
    <t>acceptoffer</t>
  </si>
  <si>
    <t>makeoffer</t>
  </si>
  <si>
    <t>makeoffer1</t>
  </si>
  <si>
    <t>pack</t>
  </si>
  <si>
    <t>purchase</t>
  </si>
  <si>
    <t>submitproduce</t>
  </si>
  <si>
    <t>testcardamom</t>
  </si>
  <si>
    <t>Read Functions without any network latency</t>
  </si>
  <si>
    <t>payload size</t>
  </si>
  <si>
    <t>getallpackets</t>
  </si>
  <si>
    <t>-</t>
  </si>
  <si>
    <t>getPacketLifecycle</t>
  </si>
  <si>
    <t>getproduce</t>
  </si>
  <si>
    <t>Write Functions with network latency 50 ms jitter 20 and packet loss 1%</t>
  </si>
  <si>
    <t>Read Functions with network latency 50 ms jitter 20 and packet loss 1%</t>
  </si>
  <si>
    <t xml:space="preserve"> payload size</t>
  </si>
  <si>
    <t>Resource Utilizaton</t>
  </si>
  <si>
    <t>latency 0 ms</t>
  </si>
  <si>
    <t>TPS</t>
  </si>
  <si>
    <t>avgCPU</t>
  </si>
  <si>
    <t>peakCPU</t>
  </si>
  <si>
    <t>dockerCPU_avg(%)</t>
  </si>
  <si>
    <t>dockerCPU_peak(%)</t>
  </si>
  <si>
    <t>mem_avg(%)</t>
  </si>
  <si>
    <t>mem_avg(MB)/2 GB</t>
  </si>
  <si>
    <t>netIO_avg(MB)</t>
  </si>
  <si>
    <t>packetdetails</t>
  </si>
  <si>
    <t>Function</t>
  </si>
  <si>
    <t>Payload</t>
  </si>
  <si>
    <t>mem_avg(MB)</t>
  </si>
  <si>
    <t>payload</t>
  </si>
  <si>
    <t>size</t>
  </si>
  <si>
    <t>latency_50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</si>
</sst>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readingOrder="0" vertical="bottom"/>
    </xf>
    <xf borderId="4" fillId="0" fontId="6" numFmtId="0" xfId="0" applyAlignment="1" applyBorder="1" applyFont="1">
      <alignment vertical="bottom"/>
    </xf>
    <xf borderId="4" fillId="0" fontId="3" numFmtId="0" xfId="0" applyBorder="1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7" t="s">
        <v>11</v>
      </c>
      <c r="B4" s="7">
        <v>50.0</v>
      </c>
      <c r="C4" s="7">
        <v>5000.0</v>
      </c>
      <c r="D4" s="7">
        <v>0.0</v>
      </c>
      <c r="E4" s="7">
        <v>50.0</v>
      </c>
      <c r="F4" s="7">
        <v>1.33</v>
      </c>
      <c r="G4" s="8">
        <v>0.0</v>
      </c>
      <c r="H4" s="7">
        <v>0.11</v>
      </c>
      <c r="I4" s="7">
        <v>50.0</v>
      </c>
      <c r="J4" s="7">
        <v>35.0</v>
      </c>
    </row>
    <row r="5">
      <c r="A5" s="7" t="s">
        <v>11</v>
      </c>
      <c r="B5" s="7">
        <v>100.0</v>
      </c>
      <c r="C5" s="7">
        <v>5000.0</v>
      </c>
      <c r="D5" s="7">
        <v>0.0</v>
      </c>
      <c r="E5" s="7">
        <v>99.9</v>
      </c>
      <c r="F5" s="7">
        <v>1.0</v>
      </c>
      <c r="G5" s="8">
        <v>0.0</v>
      </c>
      <c r="H5" s="7">
        <v>0.09</v>
      </c>
      <c r="I5" s="7">
        <v>99.8</v>
      </c>
      <c r="J5" s="7">
        <v>35.0</v>
      </c>
    </row>
    <row r="6">
      <c r="A6" s="7" t="s">
        <v>11</v>
      </c>
      <c r="B6" s="7">
        <v>200.0</v>
      </c>
      <c r="C6" s="7">
        <v>5000.0</v>
      </c>
      <c r="D6" s="7">
        <v>0.0</v>
      </c>
      <c r="E6" s="7">
        <v>199.2</v>
      </c>
      <c r="F6" s="7">
        <v>1.49</v>
      </c>
      <c r="G6" s="8">
        <v>0.0</v>
      </c>
      <c r="H6" s="7">
        <v>0.12</v>
      </c>
      <c r="I6" s="7">
        <v>198.7</v>
      </c>
      <c r="J6" s="7">
        <v>35.0</v>
      </c>
    </row>
    <row r="7">
      <c r="A7" s="7" t="s">
        <v>11</v>
      </c>
      <c r="B7" s="7">
        <v>300.0</v>
      </c>
      <c r="C7" s="7">
        <v>4999.0</v>
      </c>
      <c r="D7" s="7">
        <v>1.0</v>
      </c>
      <c r="E7" s="7">
        <v>299.8</v>
      </c>
      <c r="F7" s="7">
        <v>2.08</v>
      </c>
      <c r="G7" s="8">
        <v>0.0</v>
      </c>
      <c r="H7" s="7">
        <v>0.29</v>
      </c>
      <c r="I7" s="7">
        <v>267.1</v>
      </c>
      <c r="J7" s="7">
        <v>35.0</v>
      </c>
    </row>
    <row r="8">
      <c r="A8" s="7" t="s">
        <v>11</v>
      </c>
      <c r="B8" s="7">
        <v>400.0</v>
      </c>
      <c r="C8" s="7">
        <v>4996.0</v>
      </c>
      <c r="D8" s="7">
        <v>4.0</v>
      </c>
      <c r="E8" s="7">
        <v>398.6</v>
      </c>
      <c r="F8" s="7">
        <v>6.52</v>
      </c>
      <c r="G8" s="8">
        <v>0.09</v>
      </c>
      <c r="H8" s="7">
        <v>4.45</v>
      </c>
      <c r="I8" s="7">
        <v>263.2</v>
      </c>
      <c r="J8" s="7">
        <v>35.0</v>
      </c>
    </row>
    <row r="9">
      <c r="A9" s="7" t="s">
        <v>11</v>
      </c>
      <c r="B9" s="7">
        <v>500.0</v>
      </c>
      <c r="C9" s="7">
        <v>4996.0</v>
      </c>
      <c r="D9" s="7">
        <v>4.0</v>
      </c>
      <c r="E9" s="7">
        <v>497.8</v>
      </c>
      <c r="F9" s="7">
        <v>9.21</v>
      </c>
      <c r="G9" s="8">
        <v>0.09</v>
      </c>
      <c r="H9" s="7">
        <v>6.48</v>
      </c>
      <c r="I9" s="7">
        <v>261.4</v>
      </c>
      <c r="J9" s="7">
        <v>35.0</v>
      </c>
    </row>
    <row r="10">
      <c r="A10" s="7" t="s">
        <v>12</v>
      </c>
      <c r="B10" s="7">
        <v>50.0</v>
      </c>
      <c r="C10" s="7">
        <v>5000.0</v>
      </c>
      <c r="D10" s="7">
        <v>0.0</v>
      </c>
      <c r="E10" s="7">
        <v>50.0</v>
      </c>
      <c r="F10" s="7">
        <v>2.04</v>
      </c>
      <c r="G10" s="8">
        <v>0.0</v>
      </c>
      <c r="H10" s="7">
        <v>0.07</v>
      </c>
      <c r="I10" s="7">
        <v>49.0</v>
      </c>
      <c r="J10" s="7">
        <v>41.0</v>
      </c>
    </row>
    <row r="11">
      <c r="A11" s="7" t="s">
        <v>12</v>
      </c>
      <c r="B11" s="7">
        <v>100.0</v>
      </c>
      <c r="C11" s="7">
        <v>5010.0</v>
      </c>
      <c r="D11" s="7">
        <v>0.0</v>
      </c>
      <c r="E11" s="7">
        <v>100.3</v>
      </c>
      <c r="F11" s="7">
        <v>2.04</v>
      </c>
      <c r="G11" s="8">
        <v>0.0</v>
      </c>
      <c r="H11" s="7">
        <v>0.05</v>
      </c>
      <c r="I11" s="7">
        <v>96.5</v>
      </c>
      <c r="J11" s="7">
        <v>41.0</v>
      </c>
    </row>
    <row r="12">
      <c r="A12" s="7" t="s">
        <v>12</v>
      </c>
      <c r="B12" s="7">
        <v>200.0</v>
      </c>
      <c r="C12" s="7">
        <v>5010.0</v>
      </c>
      <c r="D12" s="7">
        <v>0.0</v>
      </c>
      <c r="E12" s="7">
        <v>199.6</v>
      </c>
      <c r="F12" s="7">
        <v>2.04</v>
      </c>
      <c r="G12" s="8">
        <v>0.0</v>
      </c>
      <c r="H12" s="7">
        <v>0.05</v>
      </c>
      <c r="I12" s="7">
        <v>185.0</v>
      </c>
      <c r="J12" s="7">
        <v>41.0</v>
      </c>
    </row>
    <row r="13">
      <c r="A13" s="7" t="s">
        <v>12</v>
      </c>
      <c r="B13" s="7">
        <v>300.0</v>
      </c>
      <c r="C13" s="7">
        <v>5009.0</v>
      </c>
      <c r="D13" s="7">
        <v>1.0</v>
      </c>
      <c r="E13" s="7">
        <v>299.9</v>
      </c>
      <c r="F13" s="7">
        <v>2.04</v>
      </c>
      <c r="G13" s="8">
        <v>0.0</v>
      </c>
      <c r="H13" s="7">
        <v>0.06</v>
      </c>
      <c r="I13" s="7">
        <v>267.7</v>
      </c>
      <c r="J13" s="7">
        <v>41.0</v>
      </c>
    </row>
    <row r="14">
      <c r="A14" s="7" t="s">
        <v>12</v>
      </c>
      <c r="B14" s="7">
        <v>400.0</v>
      </c>
      <c r="C14" s="7">
        <v>5007.0</v>
      </c>
      <c r="D14" s="7">
        <v>3.0</v>
      </c>
      <c r="E14" s="7">
        <v>398.1</v>
      </c>
      <c r="F14" s="7">
        <v>2.04</v>
      </c>
      <c r="G14" s="8">
        <v>0.01</v>
      </c>
      <c r="H14" s="7">
        <v>0.05</v>
      </c>
      <c r="I14" s="7">
        <v>343.6</v>
      </c>
      <c r="J14" s="7">
        <v>41.0</v>
      </c>
    </row>
    <row r="15">
      <c r="A15" s="7" t="s">
        <v>12</v>
      </c>
      <c r="B15" s="7">
        <v>500.0</v>
      </c>
      <c r="C15" s="7">
        <v>5005.0</v>
      </c>
      <c r="D15" s="7">
        <v>5.0</v>
      </c>
      <c r="E15" s="7">
        <v>499.4</v>
      </c>
      <c r="F15" s="7">
        <v>0.26</v>
      </c>
      <c r="G15" s="8">
        <v>0.01</v>
      </c>
      <c r="H15" s="7">
        <v>0.09</v>
      </c>
      <c r="I15" s="7">
        <v>416.3</v>
      </c>
      <c r="J15" s="7">
        <v>41.0</v>
      </c>
    </row>
    <row r="16">
      <c r="A16" s="9" t="s">
        <v>13</v>
      </c>
      <c r="B16" s="10">
        <v>50.0</v>
      </c>
      <c r="C16" s="10">
        <v>4994.0</v>
      </c>
      <c r="D16" s="10">
        <v>16.0</v>
      </c>
      <c r="E16" s="10">
        <v>50.1</v>
      </c>
      <c r="F16" s="10">
        <v>2.05</v>
      </c>
      <c r="G16" s="11">
        <v>0.0</v>
      </c>
      <c r="H16" s="10">
        <v>0.08</v>
      </c>
      <c r="I16" s="10">
        <v>49.1</v>
      </c>
      <c r="J16" s="7">
        <v>41.0</v>
      </c>
    </row>
    <row r="17">
      <c r="A17" s="9" t="s">
        <v>13</v>
      </c>
      <c r="B17" s="10">
        <v>100.0</v>
      </c>
      <c r="C17" s="10">
        <v>4997.0</v>
      </c>
      <c r="D17" s="10">
        <v>13.0</v>
      </c>
      <c r="E17" s="10">
        <v>100.2</v>
      </c>
      <c r="F17" s="10">
        <v>2.04</v>
      </c>
      <c r="G17" s="11">
        <v>0.0</v>
      </c>
      <c r="H17" s="10">
        <v>0.06</v>
      </c>
      <c r="I17" s="10">
        <v>96.4</v>
      </c>
      <c r="J17" s="7">
        <v>41.0</v>
      </c>
    </row>
    <row r="18">
      <c r="A18" s="9" t="s">
        <v>13</v>
      </c>
      <c r="B18" s="10">
        <v>200.0</v>
      </c>
      <c r="C18" s="10">
        <v>4991.0</v>
      </c>
      <c r="D18" s="10">
        <v>19.0</v>
      </c>
      <c r="E18" s="10">
        <v>200.1</v>
      </c>
      <c r="F18" s="10">
        <v>2.04</v>
      </c>
      <c r="G18" s="11">
        <v>0.0</v>
      </c>
      <c r="H18" s="10">
        <v>0.05</v>
      </c>
      <c r="I18" s="10">
        <v>185.0</v>
      </c>
      <c r="J18" s="7">
        <v>41.0</v>
      </c>
    </row>
    <row r="19">
      <c r="A19" s="9" t="s">
        <v>13</v>
      </c>
      <c r="B19" s="10">
        <v>300.0</v>
      </c>
      <c r="C19" s="10">
        <v>4986.0</v>
      </c>
      <c r="D19" s="10">
        <v>24.0</v>
      </c>
      <c r="E19" s="10">
        <v>298.7</v>
      </c>
      <c r="F19" s="10">
        <v>2.04</v>
      </c>
      <c r="G19" s="11">
        <v>0.01</v>
      </c>
      <c r="H19" s="10">
        <v>0.05</v>
      </c>
      <c r="I19" s="10">
        <v>266.9</v>
      </c>
      <c r="J19" s="7">
        <v>41.0</v>
      </c>
    </row>
    <row r="20">
      <c r="A20" s="9" t="s">
        <v>13</v>
      </c>
      <c r="B20" s="10">
        <v>400.0</v>
      </c>
      <c r="C20" s="10">
        <v>4970.0</v>
      </c>
      <c r="D20" s="10">
        <v>40.0</v>
      </c>
      <c r="E20" s="10">
        <v>398.3</v>
      </c>
      <c r="F20" s="10">
        <v>2.06</v>
      </c>
      <c r="G20" s="11">
        <v>0.01</v>
      </c>
      <c r="H20" s="10">
        <v>0.06</v>
      </c>
      <c r="I20" s="10">
        <v>343.6</v>
      </c>
      <c r="J20" s="7">
        <v>41.0</v>
      </c>
    </row>
    <row r="21">
      <c r="A21" s="9" t="s">
        <v>13</v>
      </c>
      <c r="B21" s="10">
        <v>500.0</v>
      </c>
      <c r="C21" s="10">
        <v>4946.0</v>
      </c>
      <c r="D21" s="10">
        <v>70.0</v>
      </c>
      <c r="E21" s="10">
        <v>499.7</v>
      </c>
      <c r="F21" s="10">
        <v>2.07</v>
      </c>
      <c r="G21" s="11">
        <v>0.01</v>
      </c>
      <c r="H21" s="10">
        <v>0.08</v>
      </c>
      <c r="I21" s="10">
        <v>414.5</v>
      </c>
      <c r="J21" s="7">
        <v>41.0</v>
      </c>
    </row>
    <row r="22">
      <c r="A22" s="7" t="s">
        <v>14</v>
      </c>
      <c r="B22" s="7">
        <v>50.0</v>
      </c>
      <c r="C22" s="7">
        <v>5000.0</v>
      </c>
      <c r="D22" s="7">
        <v>0.0</v>
      </c>
      <c r="E22" s="7">
        <v>50.0</v>
      </c>
      <c r="F22" s="7">
        <v>1.39</v>
      </c>
      <c r="G22" s="8">
        <v>0.0</v>
      </c>
      <c r="H22" s="7">
        <v>0.18</v>
      </c>
      <c r="I22" s="7">
        <v>50.0</v>
      </c>
      <c r="J22" s="7">
        <v>91.0</v>
      </c>
    </row>
    <row r="23">
      <c r="A23" s="7" t="s">
        <v>14</v>
      </c>
      <c r="B23" s="7">
        <v>100.0</v>
      </c>
      <c r="C23" s="7">
        <v>5000.0</v>
      </c>
      <c r="D23" s="7">
        <v>0.0</v>
      </c>
      <c r="E23" s="7">
        <v>100.1</v>
      </c>
      <c r="F23" s="7">
        <v>1.11</v>
      </c>
      <c r="G23" s="8">
        <v>0.0</v>
      </c>
      <c r="H23" s="7">
        <v>0.19</v>
      </c>
      <c r="I23" s="7">
        <v>99.7</v>
      </c>
      <c r="J23" s="7">
        <v>91.0</v>
      </c>
    </row>
    <row r="24">
      <c r="A24" s="7" t="s">
        <v>14</v>
      </c>
      <c r="B24" s="7">
        <v>200.0</v>
      </c>
      <c r="C24" s="7">
        <v>5000.0</v>
      </c>
      <c r="D24" s="7">
        <v>0.0</v>
      </c>
      <c r="E24" s="7">
        <v>199.5</v>
      </c>
      <c r="F24" s="7">
        <v>17.17</v>
      </c>
      <c r="G24" s="8">
        <v>0.19</v>
      </c>
      <c r="H24" s="7">
        <v>10.73</v>
      </c>
      <c r="I24" s="7">
        <v>118.9</v>
      </c>
      <c r="J24" s="7">
        <v>91.0</v>
      </c>
    </row>
    <row r="25">
      <c r="A25" s="7" t="s">
        <v>14</v>
      </c>
      <c r="B25" s="7">
        <v>300.0</v>
      </c>
      <c r="C25" s="7">
        <v>4997.0</v>
      </c>
      <c r="D25" s="7">
        <v>3.0</v>
      </c>
      <c r="E25" s="7">
        <v>299.5</v>
      </c>
      <c r="F25" s="7">
        <v>20.46</v>
      </c>
      <c r="G25" s="8">
        <v>0.35</v>
      </c>
      <c r="H25" s="7">
        <v>16.24</v>
      </c>
      <c r="I25" s="7">
        <v>136.1</v>
      </c>
      <c r="J25" s="7">
        <v>91.0</v>
      </c>
    </row>
    <row r="26">
      <c r="A26" s="7" t="s">
        <v>14</v>
      </c>
      <c r="B26" s="7">
        <v>400.0</v>
      </c>
      <c r="C26" s="7">
        <v>4995.0</v>
      </c>
      <c r="D26" s="7">
        <v>5.0</v>
      </c>
      <c r="E26" s="7">
        <v>399.3</v>
      </c>
      <c r="F26" s="7">
        <v>25.83</v>
      </c>
      <c r="G26" s="8">
        <v>1.03</v>
      </c>
      <c r="H26" s="7">
        <v>18.83</v>
      </c>
      <c r="I26" s="7">
        <v>136.6</v>
      </c>
      <c r="J26" s="7">
        <v>91.0</v>
      </c>
    </row>
    <row r="27">
      <c r="A27" s="7" t="s">
        <v>14</v>
      </c>
      <c r="B27" s="7">
        <v>500.0</v>
      </c>
      <c r="C27" s="7">
        <v>4991.0</v>
      </c>
      <c r="D27" s="7">
        <v>9.0</v>
      </c>
      <c r="E27" s="7">
        <v>473.7</v>
      </c>
      <c r="F27" s="7">
        <v>32.84</v>
      </c>
      <c r="G27" s="8">
        <v>0.6</v>
      </c>
      <c r="H27" s="7">
        <v>22.56</v>
      </c>
      <c r="I27" s="7">
        <v>140.1</v>
      </c>
      <c r="J27" s="7">
        <v>91.0</v>
      </c>
    </row>
    <row r="28">
      <c r="A28" s="7" t="s">
        <v>15</v>
      </c>
      <c r="B28" s="7">
        <v>50.0</v>
      </c>
      <c r="C28" s="7">
        <v>4114.0</v>
      </c>
      <c r="D28" s="7">
        <v>883.0</v>
      </c>
      <c r="E28" s="7">
        <v>50.0</v>
      </c>
      <c r="F28" s="7">
        <v>1.46</v>
      </c>
      <c r="G28" s="8">
        <v>0.0</v>
      </c>
      <c r="H28" s="7">
        <v>0.16</v>
      </c>
      <c r="I28" s="7">
        <v>50.0</v>
      </c>
      <c r="J28" s="7">
        <v>40.0</v>
      </c>
    </row>
    <row r="29">
      <c r="A29" s="7" t="s">
        <v>15</v>
      </c>
      <c r="B29" s="7">
        <v>100.0</v>
      </c>
      <c r="C29" s="7">
        <v>4113.0</v>
      </c>
      <c r="D29" s="7">
        <v>887.0</v>
      </c>
      <c r="E29" s="7">
        <v>99.9</v>
      </c>
      <c r="F29" s="7">
        <v>2.05</v>
      </c>
      <c r="G29" s="8">
        <v>0.04</v>
      </c>
      <c r="H29" s="7">
        <v>0.11</v>
      </c>
      <c r="I29" s="7">
        <v>96.2</v>
      </c>
      <c r="J29" s="7">
        <v>40.0</v>
      </c>
    </row>
    <row r="30">
      <c r="A30" s="7" t="s">
        <v>15</v>
      </c>
      <c r="B30" s="7">
        <v>200.0</v>
      </c>
      <c r="C30" s="7">
        <v>4134.0</v>
      </c>
      <c r="D30" s="7">
        <v>866.0</v>
      </c>
      <c r="E30" s="7">
        <v>200.0</v>
      </c>
      <c r="F30" s="7">
        <v>2.05</v>
      </c>
      <c r="G30" s="8">
        <v>0.04</v>
      </c>
      <c r="H30" s="7">
        <v>0.1</v>
      </c>
      <c r="I30" s="7">
        <v>185.2</v>
      </c>
      <c r="J30" s="7">
        <v>40.0</v>
      </c>
    </row>
    <row r="31">
      <c r="A31" s="7" t="s">
        <v>15</v>
      </c>
      <c r="B31" s="7">
        <v>300.0</v>
      </c>
      <c r="C31" s="7">
        <v>4105.0</v>
      </c>
      <c r="D31" s="7">
        <v>895.0</v>
      </c>
      <c r="E31" s="7">
        <v>299.8</v>
      </c>
      <c r="F31" s="7">
        <v>2.08</v>
      </c>
      <c r="G31" s="8">
        <v>0.05</v>
      </c>
      <c r="H31" s="7">
        <v>0.12</v>
      </c>
      <c r="I31" s="7">
        <v>267.3</v>
      </c>
      <c r="J31" s="7">
        <v>40.0</v>
      </c>
    </row>
    <row r="32">
      <c r="A32" s="7" t="s">
        <v>15</v>
      </c>
      <c r="B32" s="7">
        <v>400.0</v>
      </c>
      <c r="C32" s="7">
        <v>4134.0</v>
      </c>
      <c r="D32" s="7">
        <v>866.0</v>
      </c>
      <c r="E32" s="7">
        <v>397.9</v>
      </c>
      <c r="F32" s="7">
        <v>4.26</v>
      </c>
      <c r="G32" s="8">
        <v>0.07</v>
      </c>
      <c r="H32" s="7">
        <v>2.64</v>
      </c>
      <c r="I32" s="7">
        <v>328.7</v>
      </c>
      <c r="J32" s="7">
        <v>40.0</v>
      </c>
    </row>
    <row r="33">
      <c r="A33" s="7" t="s">
        <v>15</v>
      </c>
      <c r="B33" s="7">
        <v>500.0</v>
      </c>
      <c r="C33" s="7">
        <v>4078.0</v>
      </c>
      <c r="D33" s="7">
        <v>922.0</v>
      </c>
      <c r="E33" s="7">
        <v>496.7</v>
      </c>
      <c r="F33" s="7">
        <v>6.66</v>
      </c>
      <c r="G33" s="8">
        <v>0.09</v>
      </c>
      <c r="H33" s="7">
        <v>4.21</v>
      </c>
      <c r="I33" s="7">
        <v>300.2</v>
      </c>
      <c r="J33" s="7">
        <v>40.0</v>
      </c>
    </row>
    <row r="34">
      <c r="A34" s="7" t="s">
        <v>16</v>
      </c>
      <c r="B34" s="7">
        <v>50.0</v>
      </c>
      <c r="C34" s="7">
        <v>5000.0</v>
      </c>
      <c r="D34" s="7">
        <v>0.0</v>
      </c>
      <c r="E34" s="7">
        <v>50.0</v>
      </c>
      <c r="F34" s="7">
        <v>1.33</v>
      </c>
      <c r="G34" s="8">
        <v>0.0</v>
      </c>
      <c r="H34" s="7">
        <v>0.11</v>
      </c>
      <c r="I34" s="7">
        <v>50.0</v>
      </c>
      <c r="J34" s="7">
        <v>64.0</v>
      </c>
    </row>
    <row r="35">
      <c r="A35" s="7" t="s">
        <v>16</v>
      </c>
      <c r="B35" s="7">
        <v>100.0</v>
      </c>
      <c r="C35" s="7">
        <v>5000.0</v>
      </c>
      <c r="D35" s="7">
        <v>0.0</v>
      </c>
      <c r="E35" s="7">
        <v>100.0</v>
      </c>
      <c r="F35" s="7">
        <v>1.31</v>
      </c>
      <c r="G35" s="8">
        <v>0.0</v>
      </c>
      <c r="H35" s="7">
        <v>0.09</v>
      </c>
      <c r="I35" s="7">
        <v>99.9</v>
      </c>
      <c r="J35" s="7">
        <v>64.0</v>
      </c>
    </row>
    <row r="36">
      <c r="A36" s="7" t="s">
        <v>16</v>
      </c>
      <c r="B36" s="7">
        <v>200.0</v>
      </c>
      <c r="C36" s="7">
        <v>5000.0</v>
      </c>
      <c r="D36" s="7">
        <v>0.0</v>
      </c>
      <c r="E36" s="7">
        <v>200.0</v>
      </c>
      <c r="F36" s="7">
        <v>1.11</v>
      </c>
      <c r="G36" s="8">
        <v>0.0</v>
      </c>
      <c r="H36" s="7">
        <v>0.07</v>
      </c>
      <c r="I36" s="7">
        <v>199.6</v>
      </c>
      <c r="J36" s="7">
        <v>64.0</v>
      </c>
    </row>
    <row r="37">
      <c r="A37" s="7" t="s">
        <v>16</v>
      </c>
      <c r="B37" s="7">
        <v>300.0</v>
      </c>
      <c r="C37" s="7">
        <v>4996.0</v>
      </c>
      <c r="D37" s="7">
        <v>4.0</v>
      </c>
      <c r="E37" s="7">
        <v>298.9</v>
      </c>
      <c r="F37" s="7">
        <v>2.09</v>
      </c>
      <c r="G37" s="8">
        <v>0.0</v>
      </c>
      <c r="H37" s="7">
        <v>0.31</v>
      </c>
      <c r="I37" s="7">
        <v>266.4</v>
      </c>
      <c r="J37" s="7">
        <v>64.0</v>
      </c>
    </row>
    <row r="38">
      <c r="A38" s="7" t="s">
        <v>16</v>
      </c>
      <c r="B38" s="7">
        <v>400.0</v>
      </c>
      <c r="C38" s="7">
        <v>4997.0</v>
      </c>
      <c r="D38" s="7">
        <v>3.0</v>
      </c>
      <c r="E38" s="7">
        <v>399.8</v>
      </c>
      <c r="F38" s="7">
        <v>4.01</v>
      </c>
      <c r="G38" s="8">
        <v>0.08</v>
      </c>
      <c r="H38" s="7">
        <v>2.64</v>
      </c>
      <c r="I38" s="7">
        <v>308.4</v>
      </c>
      <c r="J38" s="7">
        <v>64.0</v>
      </c>
    </row>
    <row r="39">
      <c r="A39" s="7" t="s">
        <v>16</v>
      </c>
      <c r="B39" s="7">
        <v>500.0</v>
      </c>
      <c r="C39" s="7">
        <v>4994.0</v>
      </c>
      <c r="D39" s="7">
        <v>6.0</v>
      </c>
      <c r="E39" s="7">
        <v>495.2</v>
      </c>
      <c r="F39" s="7">
        <v>6.91</v>
      </c>
      <c r="G39" s="8">
        <v>0.1</v>
      </c>
      <c r="H39" s="7">
        <v>4.45</v>
      </c>
      <c r="I39" s="7">
        <v>294.8</v>
      </c>
      <c r="J39" s="7">
        <v>64.0</v>
      </c>
    </row>
    <row r="40">
      <c r="A40" s="7" t="s">
        <v>17</v>
      </c>
      <c r="B40" s="7">
        <v>50.0</v>
      </c>
      <c r="C40" s="7">
        <v>5000.0</v>
      </c>
      <c r="D40" s="7">
        <v>0.0</v>
      </c>
      <c r="E40" s="7">
        <v>50.0</v>
      </c>
      <c r="F40" s="7">
        <v>0.72</v>
      </c>
      <c r="G40" s="8">
        <v>0.0</v>
      </c>
      <c r="H40" s="7">
        <v>0.1</v>
      </c>
      <c r="I40" s="7">
        <v>50.0</v>
      </c>
      <c r="J40" s="7">
        <v>483.0</v>
      </c>
    </row>
    <row r="41">
      <c r="A41" s="7" t="s">
        <v>17</v>
      </c>
      <c r="B41" s="7">
        <v>100.0</v>
      </c>
      <c r="C41" s="7">
        <v>5000.0</v>
      </c>
      <c r="D41" s="7">
        <v>0.0</v>
      </c>
      <c r="E41" s="7">
        <v>100.0</v>
      </c>
      <c r="F41" s="7">
        <v>1.33</v>
      </c>
      <c r="G41" s="8">
        <v>0.0</v>
      </c>
      <c r="H41" s="7">
        <v>0.09</v>
      </c>
      <c r="I41" s="7">
        <v>99.9</v>
      </c>
      <c r="J41" s="7">
        <v>483.0</v>
      </c>
    </row>
    <row r="42">
      <c r="A42" s="7" t="s">
        <v>17</v>
      </c>
      <c r="B42" s="7">
        <v>200.0</v>
      </c>
      <c r="C42" s="7">
        <v>5000.0</v>
      </c>
      <c r="D42" s="7">
        <v>0.0</v>
      </c>
      <c r="E42" s="7">
        <v>199.8</v>
      </c>
      <c r="F42" s="7">
        <v>0.15</v>
      </c>
      <c r="G42" s="8">
        <v>0.0</v>
      </c>
      <c r="H42" s="7">
        <v>0.08</v>
      </c>
      <c r="I42" s="7">
        <v>199.4</v>
      </c>
      <c r="J42" s="7">
        <v>483.0</v>
      </c>
    </row>
    <row r="43">
      <c r="A43" s="7" t="s">
        <v>17</v>
      </c>
      <c r="B43" s="7">
        <v>300.0</v>
      </c>
      <c r="C43" s="7">
        <v>4996.0</v>
      </c>
      <c r="D43" s="7">
        <v>4.0</v>
      </c>
      <c r="E43" s="7">
        <v>298.4</v>
      </c>
      <c r="F43" s="7">
        <v>2.07</v>
      </c>
      <c r="G43" s="8">
        <v>0.07</v>
      </c>
      <c r="H43" s="7">
        <v>0.8</v>
      </c>
      <c r="I43" s="7">
        <v>266.5</v>
      </c>
      <c r="J43" s="7">
        <v>483.0</v>
      </c>
    </row>
    <row r="44">
      <c r="A44" s="7" t="s">
        <v>17</v>
      </c>
      <c r="B44" s="7">
        <v>400.0</v>
      </c>
      <c r="C44" s="7">
        <v>4996.0</v>
      </c>
      <c r="D44" s="7">
        <v>4.0</v>
      </c>
      <c r="E44" s="7">
        <v>371.5</v>
      </c>
      <c r="F44" s="7">
        <v>4.66</v>
      </c>
      <c r="G44" s="8">
        <v>0.1</v>
      </c>
      <c r="H44" s="7">
        <v>3.25</v>
      </c>
      <c r="I44" s="7">
        <v>288.4</v>
      </c>
      <c r="J44" s="7">
        <v>483.0</v>
      </c>
    </row>
    <row r="45">
      <c r="A45" s="7" t="s">
        <v>17</v>
      </c>
      <c r="B45" s="7">
        <v>500.0</v>
      </c>
      <c r="C45" s="7">
        <v>4992.0</v>
      </c>
      <c r="D45" s="7">
        <v>8.0</v>
      </c>
      <c r="E45" s="7">
        <v>422.9</v>
      </c>
      <c r="F45" s="7">
        <v>6.11</v>
      </c>
      <c r="G45" s="8">
        <v>0.11</v>
      </c>
      <c r="H45" s="7">
        <v>4.27</v>
      </c>
      <c r="I45" s="7">
        <v>295.2</v>
      </c>
      <c r="J45" s="7">
        <v>483.0</v>
      </c>
    </row>
    <row r="47">
      <c r="A47" s="1" t="s">
        <v>18</v>
      </c>
      <c r="B47" s="2"/>
      <c r="C47" s="2"/>
      <c r="D47" s="2"/>
      <c r="E47" s="2"/>
      <c r="F47" s="2"/>
      <c r="G47" s="2"/>
      <c r="H47" s="2"/>
      <c r="I47" s="2"/>
      <c r="J47" s="3"/>
    </row>
    <row r="49">
      <c r="A49" s="5" t="s">
        <v>1</v>
      </c>
      <c r="B49" s="5" t="s">
        <v>2</v>
      </c>
      <c r="C49" s="5" t="s">
        <v>19</v>
      </c>
      <c r="D49" s="5" t="s">
        <v>3</v>
      </c>
      <c r="E49" s="5" t="s">
        <v>4</v>
      </c>
      <c r="F49" s="5" t="s">
        <v>5</v>
      </c>
      <c r="G49" s="5" t="s">
        <v>6</v>
      </c>
      <c r="H49" s="5" t="s">
        <v>7</v>
      </c>
      <c r="I49" s="5" t="s">
        <v>8</v>
      </c>
      <c r="J49" s="5" t="s">
        <v>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7" t="s">
        <v>20</v>
      </c>
      <c r="B50" s="7">
        <v>50.0</v>
      </c>
      <c r="C50" s="8">
        <v>6.66</v>
      </c>
      <c r="D50" s="7">
        <v>5000.0</v>
      </c>
      <c r="E50" s="7">
        <v>0.0</v>
      </c>
      <c r="F50" s="7">
        <v>50.0</v>
      </c>
      <c r="G50" s="7">
        <v>0.02</v>
      </c>
      <c r="H50" s="8">
        <v>0.0</v>
      </c>
      <c r="I50" s="7">
        <v>0.01</v>
      </c>
      <c r="J50" s="7">
        <v>50.0</v>
      </c>
    </row>
    <row r="51">
      <c r="A51" s="7" t="s">
        <v>20</v>
      </c>
      <c r="B51" s="7">
        <v>50.0</v>
      </c>
      <c r="C51" s="8">
        <v>13.200000000000001</v>
      </c>
      <c r="D51" s="7">
        <v>4995.0</v>
      </c>
      <c r="E51" s="7">
        <v>0.0</v>
      </c>
      <c r="F51" s="7">
        <v>50.0</v>
      </c>
      <c r="G51" s="7">
        <v>1.01</v>
      </c>
      <c r="H51" s="8">
        <v>0.0</v>
      </c>
      <c r="I51" s="7">
        <v>0.01</v>
      </c>
      <c r="J51" s="7">
        <v>50.0</v>
      </c>
    </row>
    <row r="52">
      <c r="A52" s="7" t="s">
        <v>20</v>
      </c>
      <c r="B52" s="7">
        <v>50.0</v>
      </c>
      <c r="C52" s="8">
        <v>33.0</v>
      </c>
      <c r="D52" s="7">
        <v>5000.0</v>
      </c>
      <c r="E52" s="7">
        <v>0.0</v>
      </c>
      <c r="F52" s="7">
        <v>50.0</v>
      </c>
      <c r="G52" s="7">
        <v>0.05</v>
      </c>
      <c r="H52" s="8">
        <v>0.0</v>
      </c>
      <c r="I52" s="7">
        <v>0.01</v>
      </c>
      <c r="J52" s="7">
        <v>50.0</v>
      </c>
    </row>
    <row r="53">
      <c r="A53" s="7" t="s">
        <v>20</v>
      </c>
      <c r="B53" s="7">
        <v>50.0</v>
      </c>
      <c r="C53" s="8">
        <v>66.0</v>
      </c>
      <c r="D53" s="7">
        <v>5000.0</v>
      </c>
      <c r="E53" s="7">
        <v>0.0</v>
      </c>
      <c r="F53" s="7">
        <v>50.0</v>
      </c>
      <c r="G53" s="7">
        <v>0.06</v>
      </c>
      <c r="H53" s="8">
        <v>0.0</v>
      </c>
      <c r="I53" s="7">
        <v>0.01</v>
      </c>
      <c r="J53" s="7">
        <v>50.0</v>
      </c>
    </row>
    <row r="54">
      <c r="A54" s="7" t="s">
        <v>20</v>
      </c>
      <c r="B54" s="7">
        <v>50.0</v>
      </c>
      <c r="C54" s="8">
        <v>330.0</v>
      </c>
      <c r="D54" s="7">
        <v>5000.0</v>
      </c>
      <c r="E54" s="7">
        <v>0.0</v>
      </c>
      <c r="F54" s="7">
        <v>50.0</v>
      </c>
      <c r="G54" s="7">
        <v>0.58</v>
      </c>
      <c r="H54" s="8">
        <v>0.0</v>
      </c>
      <c r="I54" s="7">
        <v>0.05</v>
      </c>
      <c r="J54" s="7">
        <v>50.0</v>
      </c>
    </row>
    <row r="55">
      <c r="A55" s="7" t="s">
        <v>20</v>
      </c>
      <c r="B55" s="7">
        <v>50.0</v>
      </c>
      <c r="C55" s="8">
        <v>660.0</v>
      </c>
      <c r="D55" s="7">
        <v>5000.0</v>
      </c>
      <c r="E55" s="7">
        <v>0.0</v>
      </c>
      <c r="F55" s="7">
        <v>50.0</v>
      </c>
      <c r="G55" s="7">
        <v>26.55</v>
      </c>
      <c r="H55" s="8">
        <v>0.15</v>
      </c>
      <c r="I55" s="7">
        <v>13.33</v>
      </c>
      <c r="J55" s="7">
        <v>41.8</v>
      </c>
    </row>
    <row r="56">
      <c r="A56" s="7" t="s">
        <v>20</v>
      </c>
      <c r="B56" s="7">
        <v>100.0</v>
      </c>
      <c r="C56" s="8">
        <v>6.66</v>
      </c>
      <c r="D56" s="7">
        <v>5000.0</v>
      </c>
      <c r="E56" s="7">
        <v>0.0</v>
      </c>
      <c r="F56" s="7">
        <v>100.0</v>
      </c>
      <c r="G56" s="7">
        <v>0.1</v>
      </c>
      <c r="H56" s="8">
        <v>0.0</v>
      </c>
      <c r="I56" s="7">
        <v>0.01</v>
      </c>
      <c r="J56" s="7">
        <v>100.0</v>
      </c>
    </row>
    <row r="57">
      <c r="A57" s="7" t="s">
        <v>20</v>
      </c>
      <c r="B57" s="7">
        <v>100.0</v>
      </c>
      <c r="C57" s="8">
        <v>13.200000000000001</v>
      </c>
      <c r="D57" s="7">
        <v>5000.0</v>
      </c>
      <c r="E57" s="7">
        <v>0.0</v>
      </c>
      <c r="F57" s="7">
        <v>100.1</v>
      </c>
      <c r="G57" s="7">
        <v>0.02</v>
      </c>
      <c r="H57" s="8">
        <v>0.0</v>
      </c>
      <c r="I57" s="7">
        <v>0.01</v>
      </c>
      <c r="J57" s="7">
        <v>100.0</v>
      </c>
    </row>
    <row r="58">
      <c r="A58" s="7" t="s">
        <v>20</v>
      </c>
      <c r="B58" s="7">
        <v>100.0</v>
      </c>
      <c r="C58" s="8">
        <v>33.0</v>
      </c>
      <c r="D58" s="7">
        <v>5000.0</v>
      </c>
      <c r="E58" s="7">
        <v>0.0</v>
      </c>
      <c r="F58" s="7">
        <v>100.1</v>
      </c>
      <c r="G58" s="7">
        <v>0.21</v>
      </c>
      <c r="H58" s="8">
        <v>0.0</v>
      </c>
      <c r="I58" s="7">
        <v>0.01</v>
      </c>
      <c r="J58" s="7">
        <v>100.0</v>
      </c>
    </row>
    <row r="59">
      <c r="A59" s="7" t="s">
        <v>20</v>
      </c>
      <c r="B59" s="7">
        <v>100.0</v>
      </c>
      <c r="C59" s="8">
        <v>66.0</v>
      </c>
      <c r="D59" s="7">
        <v>5000.0</v>
      </c>
      <c r="E59" s="7">
        <v>0.0</v>
      </c>
      <c r="F59" s="7">
        <v>100.0</v>
      </c>
      <c r="G59" s="7">
        <v>0.1</v>
      </c>
      <c r="H59" s="8">
        <v>0.0</v>
      </c>
      <c r="I59" s="7">
        <v>0.01</v>
      </c>
      <c r="J59" s="7">
        <v>99.9</v>
      </c>
    </row>
    <row r="60">
      <c r="A60" s="7" t="s">
        <v>20</v>
      </c>
      <c r="B60" s="7">
        <v>100.0</v>
      </c>
      <c r="C60" s="8">
        <v>330.0</v>
      </c>
      <c r="D60" s="7">
        <v>5000.0</v>
      </c>
      <c r="E60" s="7">
        <v>0.0</v>
      </c>
      <c r="F60" s="7">
        <v>100.0</v>
      </c>
      <c r="G60" s="7">
        <v>19.27</v>
      </c>
      <c r="H60" s="8">
        <v>0.11</v>
      </c>
      <c r="I60" s="7">
        <v>10.81</v>
      </c>
      <c r="J60" s="7">
        <v>77.4</v>
      </c>
    </row>
    <row r="61">
      <c r="A61" s="7" t="s">
        <v>20</v>
      </c>
      <c r="B61" s="7">
        <v>100.0</v>
      </c>
      <c r="C61" s="8">
        <v>660.0</v>
      </c>
      <c r="D61" s="7">
        <v>1049.0</v>
      </c>
      <c r="E61" s="7">
        <v>3941.0</v>
      </c>
      <c r="F61" s="7">
        <v>99.8</v>
      </c>
      <c r="G61" s="7">
        <v>45.19</v>
      </c>
      <c r="H61" s="8">
        <v>0.0</v>
      </c>
      <c r="I61" s="7">
        <v>17.1</v>
      </c>
      <c r="J61" s="7">
        <v>74.5</v>
      </c>
    </row>
    <row r="62">
      <c r="A62" s="7" t="s">
        <v>20</v>
      </c>
      <c r="B62" s="7">
        <v>200.0</v>
      </c>
      <c r="C62" s="8">
        <v>6.66</v>
      </c>
      <c r="D62" s="7">
        <v>5000.0</v>
      </c>
      <c r="E62" s="7">
        <v>0.0</v>
      </c>
      <c r="F62" s="7">
        <v>200.0</v>
      </c>
      <c r="G62" s="7">
        <v>0.08</v>
      </c>
      <c r="H62" s="8">
        <v>0.0</v>
      </c>
      <c r="I62" s="7">
        <v>0.01</v>
      </c>
      <c r="J62" s="7">
        <v>199.9</v>
      </c>
    </row>
    <row r="63">
      <c r="A63" s="7" t="s">
        <v>20</v>
      </c>
      <c r="B63" s="7">
        <v>200.0</v>
      </c>
      <c r="C63" s="8">
        <v>13.200000000000001</v>
      </c>
      <c r="D63" s="7">
        <v>5000.0</v>
      </c>
      <c r="E63" s="7">
        <v>0.0</v>
      </c>
      <c r="F63" s="7">
        <v>199.5</v>
      </c>
      <c r="G63" s="7">
        <v>0.02</v>
      </c>
      <c r="H63" s="8">
        <v>0.0</v>
      </c>
      <c r="I63" s="7">
        <v>0.01</v>
      </c>
      <c r="J63" s="7">
        <v>199.5</v>
      </c>
    </row>
    <row r="64">
      <c r="A64" s="7" t="s">
        <v>20</v>
      </c>
      <c r="B64" s="7">
        <v>200.0</v>
      </c>
      <c r="C64" s="8">
        <v>33.0</v>
      </c>
      <c r="D64" s="7">
        <v>5000.0</v>
      </c>
      <c r="E64" s="7">
        <v>0.0</v>
      </c>
      <c r="F64" s="7">
        <v>199.6</v>
      </c>
      <c r="G64" s="7">
        <v>0.02</v>
      </c>
      <c r="H64" s="8">
        <v>0.0</v>
      </c>
      <c r="I64" s="7">
        <v>0.01</v>
      </c>
      <c r="J64" s="7">
        <v>199.5</v>
      </c>
    </row>
    <row r="65">
      <c r="A65" s="7" t="s">
        <v>20</v>
      </c>
      <c r="B65" s="7">
        <v>200.0</v>
      </c>
      <c r="C65" s="8">
        <v>66.0</v>
      </c>
      <c r="D65" s="7">
        <v>5000.0</v>
      </c>
      <c r="E65" s="7">
        <v>0.0</v>
      </c>
      <c r="F65" s="7">
        <v>199.8</v>
      </c>
      <c r="G65" s="7">
        <v>0.07</v>
      </c>
      <c r="H65" s="8">
        <v>0.0</v>
      </c>
      <c r="I65" s="7">
        <v>0.01</v>
      </c>
      <c r="J65" s="7">
        <v>199.8</v>
      </c>
    </row>
    <row r="66">
      <c r="A66" s="7" t="s">
        <v>20</v>
      </c>
      <c r="B66" s="7">
        <v>200.0</v>
      </c>
      <c r="C66" s="8">
        <v>330.0</v>
      </c>
      <c r="D66" s="7">
        <v>3690.0</v>
      </c>
      <c r="E66" s="7">
        <v>1310.0</v>
      </c>
      <c r="F66" s="7">
        <v>199.5</v>
      </c>
      <c r="G66" s="7">
        <v>35.25</v>
      </c>
      <c r="H66" s="8">
        <v>0.12</v>
      </c>
      <c r="I66" s="7">
        <v>21.81</v>
      </c>
      <c r="J66" s="7">
        <v>99.7</v>
      </c>
    </row>
    <row r="67">
      <c r="A67" s="7" t="s">
        <v>20</v>
      </c>
      <c r="B67" s="7">
        <v>200.0</v>
      </c>
      <c r="C67" s="8">
        <v>660.0</v>
      </c>
      <c r="D67" s="7">
        <v>386.0</v>
      </c>
      <c r="E67" s="7">
        <v>4614.0</v>
      </c>
      <c r="F67" s="7">
        <v>200.1</v>
      </c>
      <c r="G67" s="7">
        <v>38.95</v>
      </c>
      <c r="H67" s="8">
        <v>10.57</v>
      </c>
      <c r="I67" s="7">
        <v>25.43</v>
      </c>
      <c r="J67" s="7">
        <v>99.9</v>
      </c>
    </row>
    <row r="68">
      <c r="A68" s="7" t="s">
        <v>20</v>
      </c>
      <c r="B68" s="7">
        <v>300.0</v>
      </c>
      <c r="C68" s="8">
        <v>6.66</v>
      </c>
      <c r="D68" s="7">
        <v>5000.0</v>
      </c>
      <c r="E68" s="7">
        <v>0.0</v>
      </c>
      <c r="F68" s="7">
        <v>299.7</v>
      </c>
      <c r="G68" s="7">
        <v>0.24</v>
      </c>
      <c r="H68" s="8">
        <v>0.0</v>
      </c>
      <c r="I68" s="7">
        <v>0.01</v>
      </c>
      <c r="J68" s="7">
        <v>299.6</v>
      </c>
    </row>
    <row r="69">
      <c r="A69" s="7" t="s">
        <v>20</v>
      </c>
      <c r="B69" s="7">
        <v>300.0</v>
      </c>
      <c r="C69" s="8">
        <v>13.200000000000001</v>
      </c>
      <c r="D69" s="7">
        <v>5000.0</v>
      </c>
      <c r="E69" s="7">
        <v>0.0</v>
      </c>
      <c r="F69" s="7">
        <v>299.3</v>
      </c>
      <c r="G69" s="7">
        <v>0.05</v>
      </c>
      <c r="H69" s="8">
        <v>0.0</v>
      </c>
      <c r="I69" s="7">
        <v>0.01</v>
      </c>
      <c r="J69" s="7">
        <v>299.2</v>
      </c>
    </row>
    <row r="70">
      <c r="A70" s="7" t="s">
        <v>20</v>
      </c>
      <c r="B70" s="7">
        <v>300.0</v>
      </c>
      <c r="C70" s="8">
        <v>33.0</v>
      </c>
      <c r="D70" s="7">
        <v>5000.0</v>
      </c>
      <c r="E70" s="7">
        <v>0.0</v>
      </c>
      <c r="F70" s="7">
        <v>299.5</v>
      </c>
      <c r="G70" s="7">
        <v>1.05</v>
      </c>
      <c r="H70" s="8">
        <v>0.0</v>
      </c>
      <c r="I70" s="7">
        <v>-0.01</v>
      </c>
      <c r="J70" s="7">
        <v>299.4</v>
      </c>
    </row>
    <row r="71">
      <c r="A71" s="7" t="s">
        <v>20</v>
      </c>
      <c r="B71" s="7">
        <v>300.0</v>
      </c>
      <c r="C71" s="8">
        <v>66.0</v>
      </c>
      <c r="D71" s="7">
        <v>5000.0</v>
      </c>
      <c r="E71" s="7">
        <v>0.0</v>
      </c>
      <c r="F71" s="7">
        <v>299.7</v>
      </c>
      <c r="G71" s="7">
        <v>0.5</v>
      </c>
      <c r="H71" s="8">
        <v>0.01</v>
      </c>
      <c r="I71" s="7">
        <v>0.17</v>
      </c>
      <c r="J71" s="7">
        <v>296.1</v>
      </c>
    </row>
    <row r="72">
      <c r="A72" s="7" t="s">
        <v>20</v>
      </c>
      <c r="B72" s="7">
        <v>300.0</v>
      </c>
      <c r="C72" s="8">
        <v>330.0</v>
      </c>
      <c r="D72" s="7">
        <v>3022.0</v>
      </c>
      <c r="E72" s="7">
        <v>1978.0</v>
      </c>
      <c r="F72" s="7">
        <v>299.6</v>
      </c>
      <c r="G72" s="7">
        <v>34.36</v>
      </c>
      <c r="H72" s="8">
        <v>0.22</v>
      </c>
      <c r="I72" s="7">
        <v>23.37</v>
      </c>
      <c r="J72" s="7">
        <v>118.4</v>
      </c>
    </row>
    <row r="73">
      <c r="A73" s="7" t="s">
        <v>20</v>
      </c>
      <c r="B73" s="7">
        <v>300.0</v>
      </c>
      <c r="C73" s="8">
        <v>660.0</v>
      </c>
      <c r="D73" s="7">
        <v>262.0</v>
      </c>
      <c r="E73" s="7">
        <v>4733.0</v>
      </c>
      <c r="F73" s="7">
        <v>299.2</v>
      </c>
      <c r="G73" s="7">
        <v>29.89</v>
      </c>
      <c r="H73" s="8">
        <v>11.41</v>
      </c>
      <c r="I73" s="7">
        <v>20.21</v>
      </c>
      <c r="J73" s="7">
        <v>110.2</v>
      </c>
    </row>
    <row r="74">
      <c r="A74" s="7" t="s">
        <v>20</v>
      </c>
      <c r="B74" s="7">
        <v>400.0</v>
      </c>
      <c r="C74" s="8">
        <v>6.66</v>
      </c>
      <c r="D74" s="7">
        <v>5000.0</v>
      </c>
      <c r="E74" s="7">
        <v>0.0</v>
      </c>
      <c r="F74" s="7">
        <v>398.8</v>
      </c>
      <c r="G74" s="7">
        <v>0.03</v>
      </c>
      <c r="H74" s="8">
        <v>0.0</v>
      </c>
      <c r="I74" s="7">
        <v>0.01</v>
      </c>
      <c r="J74" s="7">
        <v>398.6</v>
      </c>
    </row>
    <row r="75">
      <c r="A75" s="7" t="s">
        <v>20</v>
      </c>
      <c r="B75" s="7">
        <v>400.0</v>
      </c>
      <c r="C75" s="8">
        <v>13.200000000000001</v>
      </c>
      <c r="D75" s="7">
        <v>5000.0</v>
      </c>
      <c r="E75" s="7">
        <v>0.0</v>
      </c>
      <c r="F75" s="7">
        <v>399.4</v>
      </c>
      <c r="G75" s="7">
        <v>0.03</v>
      </c>
      <c r="H75" s="8">
        <v>0.0</v>
      </c>
      <c r="I75" s="7">
        <v>0.01</v>
      </c>
      <c r="J75" s="7">
        <v>399.3</v>
      </c>
    </row>
    <row r="76">
      <c r="A76" s="7" t="s">
        <v>20</v>
      </c>
      <c r="B76" s="7">
        <v>400.0</v>
      </c>
      <c r="C76" s="8">
        <v>33.0</v>
      </c>
      <c r="D76" s="7">
        <v>5000.0</v>
      </c>
      <c r="E76" s="7">
        <v>0.0</v>
      </c>
      <c r="F76" s="7">
        <v>399.3</v>
      </c>
      <c r="G76" s="7">
        <v>0.56</v>
      </c>
      <c r="H76" s="8">
        <v>0.0</v>
      </c>
      <c r="I76" s="7">
        <v>0.23</v>
      </c>
      <c r="J76" s="7">
        <v>391.8</v>
      </c>
    </row>
    <row r="77">
      <c r="A77" s="7" t="s">
        <v>20</v>
      </c>
      <c r="B77" s="7">
        <v>400.0</v>
      </c>
      <c r="C77" s="8">
        <v>66.0</v>
      </c>
      <c r="D77" s="7">
        <v>5000.0</v>
      </c>
      <c r="E77" s="7">
        <v>0.0</v>
      </c>
      <c r="F77" s="7">
        <v>397.9</v>
      </c>
      <c r="G77" s="7">
        <v>7.7</v>
      </c>
      <c r="H77" s="8">
        <v>0.04</v>
      </c>
      <c r="I77" s="7">
        <v>3.94</v>
      </c>
      <c r="J77" s="7">
        <v>285.6</v>
      </c>
    </row>
    <row r="78">
      <c r="A78" s="7" t="s">
        <v>20</v>
      </c>
      <c r="B78" s="7">
        <v>400.0</v>
      </c>
      <c r="C78" s="8">
        <v>330.0</v>
      </c>
      <c r="D78" s="7">
        <v>2721.0</v>
      </c>
      <c r="E78" s="7">
        <v>2279.0</v>
      </c>
      <c r="F78" s="7">
        <v>397.7</v>
      </c>
      <c r="G78" s="7">
        <v>33.66</v>
      </c>
      <c r="H78" s="8">
        <v>0.49</v>
      </c>
      <c r="I78" s="7">
        <v>24.59</v>
      </c>
      <c r="J78" s="7">
        <v>130.4</v>
      </c>
    </row>
    <row r="79">
      <c r="A79" s="7" t="s">
        <v>20</v>
      </c>
      <c r="B79" s="7">
        <v>400.0</v>
      </c>
      <c r="C79" s="8">
        <v>660.0</v>
      </c>
      <c r="D79" s="7">
        <v>0.0</v>
      </c>
      <c r="E79" s="7">
        <v>5000.0</v>
      </c>
      <c r="F79" s="7">
        <v>398.1</v>
      </c>
      <c r="G79" s="7" t="s">
        <v>21</v>
      </c>
      <c r="H79" s="8" t="s">
        <v>21</v>
      </c>
      <c r="I79" s="7" t="s">
        <v>21</v>
      </c>
      <c r="J79" s="7">
        <v>148.6</v>
      </c>
    </row>
    <row r="80">
      <c r="A80" s="7" t="s">
        <v>20</v>
      </c>
      <c r="B80" s="7">
        <v>500.0</v>
      </c>
      <c r="C80" s="8">
        <v>6.66</v>
      </c>
      <c r="D80" s="7">
        <v>5000.0</v>
      </c>
      <c r="E80" s="7">
        <v>0.0</v>
      </c>
      <c r="F80" s="7">
        <v>497.0</v>
      </c>
      <c r="G80" s="7">
        <v>0.2</v>
      </c>
      <c r="H80" s="8">
        <v>0.01</v>
      </c>
      <c r="I80" s="7">
        <v>0.04</v>
      </c>
      <c r="J80" s="7">
        <v>496.7</v>
      </c>
    </row>
    <row r="81">
      <c r="A81" s="7" t="s">
        <v>20</v>
      </c>
      <c r="B81" s="7">
        <v>500.0</v>
      </c>
      <c r="C81" s="8">
        <v>13.200000000000001</v>
      </c>
      <c r="D81" s="7">
        <v>5000.0</v>
      </c>
      <c r="E81" s="7">
        <v>0.0</v>
      </c>
      <c r="F81" s="7">
        <v>500.0</v>
      </c>
      <c r="G81" s="7">
        <v>1.93</v>
      </c>
      <c r="H81" s="8">
        <v>0.0</v>
      </c>
      <c r="I81" s="7">
        <v>0.59</v>
      </c>
      <c r="J81" s="7">
        <v>491.4</v>
      </c>
    </row>
    <row r="82">
      <c r="A82" s="7" t="s">
        <v>20</v>
      </c>
      <c r="B82" s="7">
        <v>500.0</v>
      </c>
      <c r="C82" s="8">
        <v>33.0</v>
      </c>
      <c r="D82" s="7">
        <v>5000.0</v>
      </c>
      <c r="E82" s="7">
        <v>0.0</v>
      </c>
      <c r="F82" s="7">
        <v>499.6</v>
      </c>
      <c r="G82" s="7">
        <v>2.25</v>
      </c>
      <c r="H82" s="8">
        <v>0.0</v>
      </c>
      <c r="I82" s="7">
        <v>0.96</v>
      </c>
      <c r="J82" s="7">
        <v>436.9</v>
      </c>
    </row>
    <row r="83">
      <c r="A83" s="7" t="s">
        <v>20</v>
      </c>
      <c r="B83" s="7">
        <v>500.0</v>
      </c>
      <c r="C83" s="8">
        <v>66.0</v>
      </c>
      <c r="D83" s="7">
        <v>4536.0</v>
      </c>
      <c r="E83" s="7">
        <v>464.0</v>
      </c>
      <c r="F83" s="7">
        <v>495.0</v>
      </c>
      <c r="G83" s="7">
        <v>9.65</v>
      </c>
      <c r="H83" s="8">
        <v>0.06</v>
      </c>
      <c r="I83" s="7">
        <v>5.29</v>
      </c>
      <c r="J83" s="7">
        <v>314.5</v>
      </c>
    </row>
    <row r="84">
      <c r="A84" s="7" t="s">
        <v>20</v>
      </c>
      <c r="B84" s="7">
        <v>500.0</v>
      </c>
      <c r="C84" s="8">
        <v>330.0</v>
      </c>
      <c r="D84" s="7">
        <v>2632.0</v>
      </c>
      <c r="E84" s="7">
        <v>2368.0</v>
      </c>
      <c r="F84" s="7">
        <v>497.9</v>
      </c>
      <c r="G84" s="7">
        <v>36.23</v>
      </c>
      <c r="H84" s="8">
        <v>0.47</v>
      </c>
      <c r="I84" s="7">
        <v>27.31</v>
      </c>
      <c r="J84" s="7">
        <v>125.8</v>
      </c>
    </row>
    <row r="85">
      <c r="A85" s="7" t="s">
        <v>20</v>
      </c>
      <c r="B85" s="7">
        <v>500.0</v>
      </c>
      <c r="C85" s="8">
        <v>660.0</v>
      </c>
      <c r="D85" s="7">
        <v>0.0</v>
      </c>
      <c r="E85" s="7">
        <v>5000.0</v>
      </c>
      <c r="F85" s="7">
        <v>499.5</v>
      </c>
      <c r="G85" s="7" t="s">
        <v>21</v>
      </c>
      <c r="H85" s="8" t="s">
        <v>21</v>
      </c>
      <c r="I85" s="7" t="s">
        <v>21</v>
      </c>
      <c r="J85" s="7">
        <v>148.2</v>
      </c>
    </row>
    <row r="86">
      <c r="A86" s="7" t="s">
        <v>22</v>
      </c>
      <c r="B86" s="7">
        <v>50.0</v>
      </c>
      <c r="C86" s="7">
        <v>2908.0</v>
      </c>
      <c r="D86" s="7">
        <v>5000.0</v>
      </c>
      <c r="E86" s="7">
        <v>0.0</v>
      </c>
      <c r="F86" s="7">
        <v>50.0</v>
      </c>
      <c r="G86" s="7">
        <v>0.06</v>
      </c>
      <c r="H86" s="8">
        <v>0.0</v>
      </c>
      <c r="I86" s="7">
        <v>0.01</v>
      </c>
      <c r="J86" s="7">
        <v>50.0</v>
      </c>
    </row>
    <row r="87">
      <c r="A87" s="7" t="s">
        <v>22</v>
      </c>
      <c r="B87" s="7">
        <v>100.0</v>
      </c>
      <c r="C87" s="7">
        <v>2908.0</v>
      </c>
      <c r="D87" s="7">
        <v>4995.0</v>
      </c>
      <c r="E87" s="7">
        <v>0.0</v>
      </c>
      <c r="F87" s="7">
        <v>99.9</v>
      </c>
      <c r="G87" s="7">
        <v>0.02</v>
      </c>
      <c r="H87" s="8">
        <v>0.0</v>
      </c>
      <c r="I87" s="7">
        <v>0.01</v>
      </c>
      <c r="J87" s="7">
        <v>99.9</v>
      </c>
    </row>
    <row r="88">
      <c r="A88" s="7" t="s">
        <v>22</v>
      </c>
      <c r="B88" s="7">
        <v>200.0</v>
      </c>
      <c r="C88" s="7">
        <v>2908.0</v>
      </c>
      <c r="D88" s="7">
        <v>5000.0</v>
      </c>
      <c r="E88" s="7">
        <v>0.0</v>
      </c>
      <c r="F88" s="7">
        <v>199.8</v>
      </c>
      <c r="G88" s="7">
        <v>0.5</v>
      </c>
      <c r="H88" s="8">
        <v>0.01</v>
      </c>
      <c r="I88" s="7">
        <v>0.01</v>
      </c>
      <c r="J88" s="7">
        <v>199.8</v>
      </c>
    </row>
    <row r="89">
      <c r="A89" s="7" t="s">
        <v>22</v>
      </c>
      <c r="B89" s="7">
        <v>300.0</v>
      </c>
      <c r="C89" s="7">
        <v>2908.0</v>
      </c>
      <c r="D89" s="7">
        <v>5000.0</v>
      </c>
      <c r="E89" s="7">
        <v>0.0</v>
      </c>
      <c r="F89" s="7">
        <v>299.4</v>
      </c>
      <c r="G89" s="7">
        <v>0.03</v>
      </c>
      <c r="H89" s="8">
        <v>0.01</v>
      </c>
      <c r="I89" s="7">
        <v>0.01</v>
      </c>
      <c r="J89" s="7">
        <v>299.3</v>
      </c>
    </row>
    <row r="90">
      <c r="A90" s="7" t="s">
        <v>22</v>
      </c>
      <c r="B90" s="7">
        <v>400.0</v>
      </c>
      <c r="C90" s="7">
        <v>2908.0</v>
      </c>
      <c r="D90" s="7">
        <v>5000.0</v>
      </c>
      <c r="E90" s="7">
        <v>0.0</v>
      </c>
      <c r="F90" s="7">
        <v>377.8</v>
      </c>
      <c r="G90" s="7">
        <v>1.19</v>
      </c>
      <c r="H90" s="8">
        <v>0.0</v>
      </c>
      <c r="I90" s="7">
        <v>0.01</v>
      </c>
      <c r="J90" s="7">
        <v>373.6</v>
      </c>
    </row>
    <row r="91">
      <c r="A91" s="7" t="s">
        <v>22</v>
      </c>
      <c r="B91" s="7">
        <v>500.0</v>
      </c>
      <c r="C91" s="7">
        <v>2908.0</v>
      </c>
      <c r="D91" s="7">
        <v>5000.0</v>
      </c>
      <c r="E91" s="7">
        <v>0.0</v>
      </c>
      <c r="F91" s="7">
        <v>496.2</v>
      </c>
      <c r="G91" s="7">
        <v>0.1</v>
      </c>
      <c r="H91" s="8">
        <v>0.0</v>
      </c>
      <c r="I91" s="7">
        <v>0.02</v>
      </c>
      <c r="J91" s="7">
        <v>495.8</v>
      </c>
    </row>
    <row r="92">
      <c r="A92" s="7" t="s">
        <v>23</v>
      </c>
      <c r="B92" s="7">
        <v>50.0</v>
      </c>
      <c r="C92" s="7">
        <v>9.43</v>
      </c>
      <c r="D92" s="7">
        <v>5000.0</v>
      </c>
      <c r="E92" s="7">
        <v>0.0</v>
      </c>
      <c r="F92" s="7">
        <v>50.0</v>
      </c>
      <c r="G92" s="7">
        <v>0.03</v>
      </c>
      <c r="H92" s="8">
        <v>0.0</v>
      </c>
      <c r="I92" s="7">
        <v>0.01</v>
      </c>
      <c r="J92" s="7">
        <v>50.0</v>
      </c>
    </row>
    <row r="93">
      <c r="A93" s="7" t="s">
        <v>23</v>
      </c>
      <c r="B93" s="7">
        <v>50.0</v>
      </c>
      <c r="C93" s="7">
        <v>18.81</v>
      </c>
      <c r="D93" s="7">
        <v>5000.0</v>
      </c>
      <c r="E93" s="7">
        <v>0.0</v>
      </c>
      <c r="F93" s="7">
        <v>50.0</v>
      </c>
      <c r="G93" s="7">
        <v>0.13</v>
      </c>
      <c r="H93" s="8">
        <v>0.0</v>
      </c>
      <c r="I93" s="7">
        <v>0.01</v>
      </c>
      <c r="J93" s="7">
        <v>50.0</v>
      </c>
    </row>
    <row r="94">
      <c r="A94" s="7" t="s">
        <v>23</v>
      </c>
      <c r="B94" s="7">
        <v>50.0</v>
      </c>
      <c r="C94" s="8">
        <v>47.15</v>
      </c>
      <c r="D94" s="7">
        <v>5000.0</v>
      </c>
      <c r="E94" s="7">
        <v>0.0</v>
      </c>
      <c r="F94" s="7">
        <v>50.0</v>
      </c>
      <c r="G94" s="7">
        <v>0.08</v>
      </c>
      <c r="H94" s="8">
        <v>0.0</v>
      </c>
      <c r="I94" s="7">
        <v>0.01</v>
      </c>
      <c r="J94" s="7">
        <v>50.0</v>
      </c>
    </row>
    <row r="95">
      <c r="A95" s="7" t="s">
        <v>23</v>
      </c>
      <c r="B95" s="7">
        <v>50.0</v>
      </c>
      <c r="C95" s="8">
        <v>94.3</v>
      </c>
      <c r="D95" s="7">
        <v>5000.0</v>
      </c>
      <c r="E95" s="7">
        <v>0.0</v>
      </c>
      <c r="F95" s="7">
        <v>50.0</v>
      </c>
      <c r="G95" s="7">
        <v>0.1</v>
      </c>
      <c r="H95" s="8">
        <v>0.0</v>
      </c>
      <c r="I95" s="7">
        <v>0.01</v>
      </c>
      <c r="J95" s="7">
        <v>50.0</v>
      </c>
    </row>
    <row r="96">
      <c r="A96" s="7" t="s">
        <v>23</v>
      </c>
      <c r="B96" s="7">
        <v>50.0</v>
      </c>
      <c r="C96" s="8">
        <v>471.5</v>
      </c>
      <c r="D96" s="7">
        <v>5000.0</v>
      </c>
      <c r="E96" s="7">
        <v>0.0</v>
      </c>
      <c r="F96" s="7">
        <v>50.0</v>
      </c>
      <c r="G96" s="7">
        <v>1.28</v>
      </c>
      <c r="H96" s="8">
        <v>0.0</v>
      </c>
      <c r="I96" s="7">
        <v>0.41</v>
      </c>
      <c r="J96" s="7">
        <v>49.9</v>
      </c>
    </row>
    <row r="97">
      <c r="A97" s="7" t="s">
        <v>23</v>
      </c>
      <c r="B97" s="7">
        <v>50.0</v>
      </c>
      <c r="C97" s="8">
        <v>943.0</v>
      </c>
      <c r="D97" s="7">
        <v>1548.0</v>
      </c>
      <c r="E97" s="7">
        <v>3452.0</v>
      </c>
      <c r="F97" s="7">
        <v>50.0</v>
      </c>
      <c r="G97" s="7">
        <v>58.88</v>
      </c>
      <c r="H97" s="8">
        <v>0.27</v>
      </c>
      <c r="I97" s="7">
        <v>21.66</v>
      </c>
      <c r="J97" s="7">
        <v>47.9</v>
      </c>
    </row>
    <row r="98">
      <c r="A98" s="7" t="s">
        <v>23</v>
      </c>
      <c r="B98" s="7">
        <v>100.0</v>
      </c>
      <c r="C98" s="7">
        <v>9.43</v>
      </c>
      <c r="D98" s="7">
        <v>5000.0</v>
      </c>
      <c r="E98" s="7">
        <v>0.0</v>
      </c>
      <c r="F98" s="7">
        <v>99.9</v>
      </c>
      <c r="G98" s="7">
        <v>0.03</v>
      </c>
      <c r="H98" s="8">
        <v>0.0</v>
      </c>
      <c r="I98" s="7">
        <v>0.01</v>
      </c>
      <c r="J98" s="7">
        <v>99.9</v>
      </c>
    </row>
    <row r="99">
      <c r="A99" s="7" t="s">
        <v>23</v>
      </c>
      <c r="B99" s="7">
        <v>100.0</v>
      </c>
      <c r="C99" s="7">
        <v>18.81</v>
      </c>
      <c r="D99" s="7">
        <v>5000.0</v>
      </c>
      <c r="E99" s="7">
        <v>0.0</v>
      </c>
      <c r="F99" s="7">
        <v>100.0</v>
      </c>
      <c r="G99" s="7">
        <v>0.57</v>
      </c>
      <c r="H99" s="8">
        <v>0.0</v>
      </c>
      <c r="I99" s="7">
        <v>0.01</v>
      </c>
      <c r="J99" s="7">
        <v>100.0</v>
      </c>
    </row>
    <row r="100">
      <c r="A100" s="7" t="s">
        <v>23</v>
      </c>
      <c r="B100" s="7">
        <v>100.0</v>
      </c>
      <c r="C100" s="8">
        <v>47.15</v>
      </c>
      <c r="D100" s="7">
        <v>4997.0</v>
      </c>
      <c r="E100" s="7">
        <v>0.0</v>
      </c>
      <c r="F100" s="7">
        <v>99.9</v>
      </c>
      <c r="G100" s="7">
        <v>0.38</v>
      </c>
      <c r="H100" s="8">
        <v>0.0</v>
      </c>
      <c r="I100" s="7">
        <v>0.02</v>
      </c>
      <c r="J100" s="7">
        <v>99.9</v>
      </c>
    </row>
    <row r="101">
      <c r="A101" s="7" t="s">
        <v>23</v>
      </c>
      <c r="B101" s="7">
        <v>100.0</v>
      </c>
      <c r="C101" s="8">
        <v>94.3</v>
      </c>
      <c r="D101" s="7">
        <v>4996.0</v>
      </c>
      <c r="E101" s="7">
        <v>0.0</v>
      </c>
      <c r="F101" s="7">
        <v>99.9</v>
      </c>
      <c r="G101" s="7">
        <v>0.04</v>
      </c>
      <c r="H101" s="8">
        <v>0.0</v>
      </c>
      <c r="I101" s="7">
        <v>0.01</v>
      </c>
      <c r="J101" s="7">
        <v>99.8</v>
      </c>
    </row>
    <row r="102">
      <c r="A102" s="7" t="s">
        <v>23</v>
      </c>
      <c r="B102" s="7">
        <v>100.0</v>
      </c>
      <c r="C102" s="8">
        <v>471.5</v>
      </c>
      <c r="D102" s="7">
        <v>4215.0</v>
      </c>
      <c r="E102" s="7">
        <v>785.0</v>
      </c>
      <c r="F102" s="7">
        <v>100.1</v>
      </c>
      <c r="G102" s="7">
        <v>53.97</v>
      </c>
      <c r="H102" s="8">
        <v>0.18</v>
      </c>
      <c r="I102" s="7">
        <v>32.32</v>
      </c>
      <c r="J102" s="7">
        <v>55.2</v>
      </c>
    </row>
    <row r="103">
      <c r="A103" s="7" t="s">
        <v>23</v>
      </c>
      <c r="B103" s="7">
        <v>100.0</v>
      </c>
      <c r="C103" s="8">
        <v>943.0</v>
      </c>
      <c r="D103" s="7">
        <v>427.0</v>
      </c>
      <c r="E103" s="7">
        <v>4573.0</v>
      </c>
      <c r="F103" s="7">
        <v>100.0</v>
      </c>
      <c r="G103" s="7">
        <v>36.51</v>
      </c>
      <c r="H103" s="8">
        <v>0.32</v>
      </c>
      <c r="I103" s="7">
        <v>16.37</v>
      </c>
      <c r="J103" s="7">
        <v>93.3</v>
      </c>
    </row>
    <row r="104">
      <c r="A104" s="7" t="s">
        <v>23</v>
      </c>
      <c r="B104" s="7">
        <v>200.0</v>
      </c>
      <c r="C104" s="7">
        <v>9.43</v>
      </c>
      <c r="D104" s="7">
        <v>5000.0</v>
      </c>
      <c r="E104" s="7">
        <v>0.0</v>
      </c>
      <c r="F104" s="7">
        <v>199.5</v>
      </c>
      <c r="G104" s="7">
        <v>0.03</v>
      </c>
      <c r="H104" s="8">
        <v>0.01</v>
      </c>
      <c r="I104" s="7">
        <v>0.01</v>
      </c>
      <c r="J104" s="7">
        <v>199.4</v>
      </c>
    </row>
    <row r="105">
      <c r="A105" s="7" t="s">
        <v>23</v>
      </c>
      <c r="B105" s="7">
        <v>200.0</v>
      </c>
      <c r="C105" s="7">
        <v>18.81</v>
      </c>
      <c r="D105" s="7">
        <v>5000.0</v>
      </c>
      <c r="E105" s="7">
        <v>0.0</v>
      </c>
      <c r="F105" s="7">
        <v>200.0</v>
      </c>
      <c r="G105" s="7">
        <v>0.04</v>
      </c>
      <c r="H105" s="8">
        <v>0.01</v>
      </c>
      <c r="I105" s="7">
        <v>0.01</v>
      </c>
      <c r="J105" s="7">
        <v>199.9</v>
      </c>
    </row>
    <row r="106">
      <c r="A106" s="7" t="s">
        <v>23</v>
      </c>
      <c r="B106" s="7">
        <v>200.0</v>
      </c>
      <c r="C106" s="8">
        <v>47.15</v>
      </c>
      <c r="D106" s="7">
        <v>5000.0</v>
      </c>
      <c r="E106" s="7">
        <v>0.0</v>
      </c>
      <c r="F106" s="7">
        <v>200.0</v>
      </c>
      <c r="G106" s="7">
        <v>0.05</v>
      </c>
      <c r="H106" s="8">
        <v>0.0</v>
      </c>
      <c r="I106" s="7">
        <v>0.01</v>
      </c>
      <c r="J106" s="7">
        <v>199.9</v>
      </c>
    </row>
    <row r="107">
      <c r="A107" s="7" t="s">
        <v>23</v>
      </c>
      <c r="B107" s="7">
        <v>200.0</v>
      </c>
      <c r="C107" s="8">
        <v>94.3</v>
      </c>
      <c r="D107" s="7">
        <v>5000.0</v>
      </c>
      <c r="E107" s="7">
        <v>0.0</v>
      </c>
      <c r="F107" s="7">
        <v>199.8</v>
      </c>
      <c r="G107" s="7">
        <v>0.27</v>
      </c>
      <c r="H107" s="8">
        <v>0.0</v>
      </c>
      <c r="I107" s="7">
        <v>0.06</v>
      </c>
      <c r="J107" s="7">
        <v>199.7</v>
      </c>
    </row>
    <row r="108">
      <c r="A108" s="7" t="s">
        <v>23</v>
      </c>
      <c r="B108" s="7">
        <v>200.0</v>
      </c>
      <c r="C108" s="8">
        <v>471.5</v>
      </c>
      <c r="D108" s="7">
        <v>3085.0</v>
      </c>
      <c r="E108" s="7">
        <v>1915.0</v>
      </c>
      <c r="F108" s="7">
        <v>199.4</v>
      </c>
      <c r="G108" s="7">
        <v>54.74</v>
      </c>
      <c r="H108" s="8">
        <v>0.17</v>
      </c>
      <c r="I108" s="7">
        <v>35.9</v>
      </c>
      <c r="J108" s="7">
        <v>73.1</v>
      </c>
    </row>
    <row r="109">
      <c r="A109" s="7" t="s">
        <v>23</v>
      </c>
      <c r="B109" s="7">
        <v>200.0</v>
      </c>
      <c r="C109" s="8">
        <v>943.0</v>
      </c>
      <c r="D109" s="7">
        <v>0.0</v>
      </c>
      <c r="E109" s="7">
        <v>5000.0</v>
      </c>
      <c r="F109" s="7">
        <v>200.1</v>
      </c>
      <c r="G109" s="7" t="s">
        <v>21</v>
      </c>
      <c r="H109" s="7" t="s">
        <v>21</v>
      </c>
      <c r="I109" s="7" t="s">
        <v>21</v>
      </c>
      <c r="J109" s="7">
        <v>142.3</v>
      </c>
    </row>
    <row r="110">
      <c r="A110" s="7" t="s">
        <v>23</v>
      </c>
      <c r="B110" s="7">
        <v>300.0</v>
      </c>
      <c r="C110" s="7">
        <v>9.43</v>
      </c>
      <c r="D110" s="7">
        <v>5000.0</v>
      </c>
      <c r="E110" s="7">
        <v>0.0</v>
      </c>
      <c r="F110" s="7">
        <v>298.8</v>
      </c>
      <c r="G110" s="7">
        <v>0.54</v>
      </c>
      <c r="H110" s="8">
        <v>0.01</v>
      </c>
      <c r="I110" s="7">
        <v>0.03</v>
      </c>
      <c r="J110" s="7">
        <v>294.3</v>
      </c>
    </row>
    <row r="111">
      <c r="A111" s="7" t="s">
        <v>23</v>
      </c>
      <c r="B111" s="7">
        <v>300.0</v>
      </c>
      <c r="C111" s="7">
        <v>18.81</v>
      </c>
      <c r="D111" s="7">
        <v>5000.0</v>
      </c>
      <c r="E111" s="7">
        <v>0.0</v>
      </c>
      <c r="F111" s="7">
        <v>299.3</v>
      </c>
      <c r="G111" s="7">
        <v>0.06</v>
      </c>
      <c r="H111" s="8">
        <v>0.01</v>
      </c>
      <c r="I111" s="7">
        <v>0.01</v>
      </c>
      <c r="J111" s="7">
        <v>299.1</v>
      </c>
    </row>
    <row r="112">
      <c r="A112" s="7" t="s">
        <v>23</v>
      </c>
      <c r="B112" s="7">
        <v>300.0</v>
      </c>
      <c r="C112" s="8">
        <v>47.15</v>
      </c>
      <c r="D112" s="7">
        <v>5000.0</v>
      </c>
      <c r="E112" s="7">
        <v>0.0</v>
      </c>
      <c r="F112" s="7">
        <v>299.6</v>
      </c>
      <c r="G112" s="7">
        <v>3.71</v>
      </c>
      <c r="H112" s="8">
        <v>0.0</v>
      </c>
      <c r="I112" s="7">
        <v>1.47</v>
      </c>
      <c r="J112" s="7">
        <v>265.3</v>
      </c>
    </row>
    <row r="113">
      <c r="A113" s="7" t="s">
        <v>23</v>
      </c>
      <c r="B113" s="7">
        <v>300.0</v>
      </c>
      <c r="C113" s="8">
        <v>94.3</v>
      </c>
      <c r="D113" s="7">
        <v>5000.0</v>
      </c>
      <c r="E113" s="7">
        <v>0.0</v>
      </c>
      <c r="F113" s="7">
        <v>299.1</v>
      </c>
      <c r="G113" s="7">
        <v>14.07</v>
      </c>
      <c r="H113" s="8">
        <v>0.02</v>
      </c>
      <c r="I113" s="7">
        <v>6.84</v>
      </c>
      <c r="J113" s="7">
        <v>191.5</v>
      </c>
    </row>
    <row r="114">
      <c r="A114" s="7" t="s">
        <v>23</v>
      </c>
      <c r="B114" s="7">
        <v>300.0</v>
      </c>
      <c r="C114" s="8">
        <v>471.5</v>
      </c>
      <c r="D114" s="7">
        <v>2773.0</v>
      </c>
      <c r="E114" s="7">
        <v>2227.0</v>
      </c>
      <c r="F114" s="7">
        <v>282.5</v>
      </c>
      <c r="G114" s="7">
        <v>55.16</v>
      </c>
      <c r="H114" s="8">
        <v>0.23</v>
      </c>
      <c r="I114" s="7">
        <v>37.7</v>
      </c>
      <c r="J114" s="7">
        <v>80.4</v>
      </c>
    </row>
    <row r="115">
      <c r="A115" s="7" t="s">
        <v>23</v>
      </c>
      <c r="B115" s="7">
        <v>300.0</v>
      </c>
      <c r="C115" s="8">
        <v>943.0</v>
      </c>
      <c r="D115" s="7">
        <v>0.0</v>
      </c>
      <c r="E115" s="7">
        <v>5000.0</v>
      </c>
      <c r="F115" s="7">
        <v>299.1</v>
      </c>
      <c r="G115" s="7" t="s">
        <v>21</v>
      </c>
      <c r="H115" s="7" t="s">
        <v>21</v>
      </c>
      <c r="I115" s="7" t="s">
        <v>21</v>
      </c>
      <c r="J115" s="7">
        <v>136.5</v>
      </c>
    </row>
    <row r="116">
      <c r="A116" s="7" t="s">
        <v>23</v>
      </c>
      <c r="B116" s="7">
        <v>400.0</v>
      </c>
      <c r="C116" s="7">
        <v>9.43</v>
      </c>
      <c r="D116" s="7">
        <v>5000.0</v>
      </c>
      <c r="E116" s="7">
        <v>0.0</v>
      </c>
      <c r="F116" s="7">
        <v>394.0</v>
      </c>
      <c r="G116" s="7">
        <v>4.33</v>
      </c>
      <c r="H116" s="8">
        <v>0.04</v>
      </c>
      <c r="I116" s="7">
        <v>2.06</v>
      </c>
      <c r="J116" s="7">
        <v>349.6</v>
      </c>
    </row>
    <row r="117">
      <c r="A117" s="7" t="s">
        <v>23</v>
      </c>
      <c r="B117" s="7">
        <v>400.0</v>
      </c>
      <c r="C117" s="7">
        <v>18.81</v>
      </c>
      <c r="D117" s="7">
        <v>4995.0</v>
      </c>
      <c r="E117" s="7">
        <v>0.0</v>
      </c>
      <c r="F117" s="7">
        <v>397.1</v>
      </c>
      <c r="G117" s="7">
        <v>2.96</v>
      </c>
      <c r="H117" s="8">
        <v>0.0</v>
      </c>
      <c r="I117" s="7">
        <v>1.31</v>
      </c>
      <c r="J117" s="7">
        <v>357.9</v>
      </c>
    </row>
    <row r="118">
      <c r="A118" s="7" t="s">
        <v>23</v>
      </c>
      <c r="B118" s="7">
        <v>400.0</v>
      </c>
      <c r="C118" s="8">
        <v>47.15</v>
      </c>
      <c r="D118" s="7">
        <v>4957.0</v>
      </c>
      <c r="E118" s="7">
        <v>43.0</v>
      </c>
      <c r="F118" s="7">
        <v>400.2</v>
      </c>
      <c r="G118" s="7">
        <v>10.56</v>
      </c>
      <c r="H118" s="8">
        <v>0.06</v>
      </c>
      <c r="I118" s="7">
        <v>5.46</v>
      </c>
      <c r="J118" s="7">
        <v>258.7</v>
      </c>
    </row>
    <row r="119">
      <c r="A119" s="7" t="s">
        <v>23</v>
      </c>
      <c r="B119" s="7">
        <v>400.0</v>
      </c>
      <c r="C119" s="8">
        <v>94.3</v>
      </c>
      <c r="D119" s="7">
        <v>4265.0</v>
      </c>
      <c r="E119" s="7">
        <v>735.0</v>
      </c>
      <c r="F119" s="7">
        <v>399.4</v>
      </c>
      <c r="G119" s="7">
        <v>13.5</v>
      </c>
      <c r="H119" s="8">
        <v>0.1</v>
      </c>
      <c r="I119" s="7">
        <v>7.31</v>
      </c>
      <c r="J119" s="7">
        <v>243.0</v>
      </c>
    </row>
    <row r="120">
      <c r="A120" s="7" t="s">
        <v>23</v>
      </c>
      <c r="B120" s="7">
        <v>400.0</v>
      </c>
      <c r="C120" s="8">
        <v>471.5</v>
      </c>
      <c r="D120" s="7">
        <v>2609.0</v>
      </c>
      <c r="E120" s="7">
        <v>2391.0</v>
      </c>
      <c r="F120" s="7">
        <v>399.4</v>
      </c>
      <c r="G120" s="7">
        <v>58.87</v>
      </c>
      <c r="H120" s="8">
        <v>0.56</v>
      </c>
      <c r="I120" s="7">
        <v>42.14</v>
      </c>
      <c r="J120" s="7">
        <v>79.2</v>
      </c>
    </row>
    <row r="121">
      <c r="A121" s="7" t="s">
        <v>23</v>
      </c>
      <c r="B121" s="7">
        <v>400.0</v>
      </c>
      <c r="C121" s="8">
        <v>943.0</v>
      </c>
      <c r="D121" s="7">
        <v>0.0</v>
      </c>
      <c r="E121" s="7">
        <v>5000.0</v>
      </c>
      <c r="F121" s="7">
        <v>398.8</v>
      </c>
      <c r="G121" s="7" t="s">
        <v>21</v>
      </c>
      <c r="H121" s="7" t="s">
        <v>21</v>
      </c>
      <c r="I121" s="7" t="s">
        <v>21</v>
      </c>
      <c r="J121" s="7">
        <v>137.5</v>
      </c>
    </row>
    <row r="122">
      <c r="A122" s="7" t="s">
        <v>23</v>
      </c>
      <c r="B122" s="7">
        <v>500.0</v>
      </c>
      <c r="C122" s="7">
        <v>9.43</v>
      </c>
      <c r="D122" s="7">
        <v>4909.0</v>
      </c>
      <c r="E122" s="7">
        <v>91.0</v>
      </c>
      <c r="F122" s="7">
        <v>498.3</v>
      </c>
      <c r="G122" s="7">
        <v>7.66</v>
      </c>
      <c r="H122" s="8">
        <v>0.06</v>
      </c>
      <c r="I122" s="7">
        <v>4.22</v>
      </c>
      <c r="J122" s="7">
        <v>353.3</v>
      </c>
    </row>
    <row r="123">
      <c r="A123" s="7" t="s">
        <v>23</v>
      </c>
      <c r="B123" s="7">
        <v>500.0</v>
      </c>
      <c r="C123" s="7">
        <v>18.81</v>
      </c>
      <c r="D123" s="7">
        <v>4647.0</v>
      </c>
      <c r="E123" s="7">
        <v>353.0</v>
      </c>
      <c r="F123" s="7">
        <v>498.4</v>
      </c>
      <c r="G123" s="7">
        <v>7.31</v>
      </c>
      <c r="H123" s="8">
        <v>0.06</v>
      </c>
      <c r="I123" s="7">
        <v>4.39</v>
      </c>
      <c r="J123" s="7">
        <v>368.9</v>
      </c>
    </row>
    <row r="124">
      <c r="A124" s="7" t="s">
        <v>23</v>
      </c>
      <c r="B124" s="7">
        <v>500.0</v>
      </c>
      <c r="C124" s="8">
        <v>47.15</v>
      </c>
      <c r="D124" s="7">
        <v>4207.0</v>
      </c>
      <c r="E124" s="7">
        <v>793.0</v>
      </c>
      <c r="F124" s="7">
        <v>497.4</v>
      </c>
      <c r="G124" s="7">
        <v>10.5</v>
      </c>
      <c r="H124" s="8">
        <v>0.03</v>
      </c>
      <c r="I124" s="7">
        <v>6.01</v>
      </c>
      <c r="J124" s="7">
        <v>312.1</v>
      </c>
    </row>
    <row r="125">
      <c r="A125" s="7" t="s">
        <v>23</v>
      </c>
      <c r="B125" s="7">
        <v>500.0</v>
      </c>
      <c r="C125" s="8">
        <v>94.3</v>
      </c>
      <c r="D125" s="7">
        <v>3518.0</v>
      </c>
      <c r="E125" s="7">
        <v>1482.0</v>
      </c>
      <c r="F125" s="7">
        <v>497.7</v>
      </c>
      <c r="G125" s="7">
        <v>15.42</v>
      </c>
      <c r="H125" s="8">
        <v>0.1</v>
      </c>
      <c r="I125" s="7">
        <v>9.13</v>
      </c>
      <c r="J125" s="7">
        <v>255.2</v>
      </c>
    </row>
    <row r="126">
      <c r="A126" s="7" t="s">
        <v>23</v>
      </c>
      <c r="B126" s="7">
        <v>500.0</v>
      </c>
      <c r="C126" s="8">
        <v>471.5</v>
      </c>
      <c r="D126" s="7">
        <v>2543.0</v>
      </c>
      <c r="E126" s="7">
        <v>2457.0</v>
      </c>
      <c r="F126" s="7">
        <v>498.5</v>
      </c>
      <c r="G126" s="7">
        <v>65.63</v>
      </c>
      <c r="H126" s="8">
        <v>0.54</v>
      </c>
      <c r="I126" s="7">
        <v>48.86</v>
      </c>
      <c r="J126" s="7">
        <v>73.2</v>
      </c>
    </row>
    <row r="127">
      <c r="A127" s="7" t="s">
        <v>23</v>
      </c>
      <c r="B127" s="7">
        <v>500.0</v>
      </c>
      <c r="C127" s="8">
        <v>943.0</v>
      </c>
      <c r="D127" s="7">
        <v>0.0</v>
      </c>
      <c r="E127" s="7">
        <v>5000.0</v>
      </c>
      <c r="F127" s="7">
        <v>496.2</v>
      </c>
      <c r="G127" s="7" t="s">
        <v>21</v>
      </c>
      <c r="H127" s="7" t="s">
        <v>21</v>
      </c>
      <c r="I127" s="7" t="s">
        <v>21</v>
      </c>
      <c r="J127" s="7">
        <v>138.0</v>
      </c>
    </row>
    <row r="130">
      <c r="A130" s="1" t="s">
        <v>24</v>
      </c>
      <c r="B130" s="2"/>
      <c r="C130" s="2"/>
      <c r="D130" s="2"/>
      <c r="E130" s="2"/>
      <c r="F130" s="2"/>
      <c r="G130" s="2"/>
      <c r="H130" s="2"/>
      <c r="I130" s="2"/>
      <c r="J130" s="3"/>
    </row>
    <row r="132">
      <c r="A132" s="5" t="s">
        <v>1</v>
      </c>
      <c r="B132" s="5" t="s">
        <v>2</v>
      </c>
      <c r="C132" s="5" t="s">
        <v>3</v>
      </c>
      <c r="D132" s="5" t="s">
        <v>4</v>
      </c>
      <c r="E132" s="5" t="s">
        <v>5</v>
      </c>
      <c r="F132" s="5" t="s">
        <v>6</v>
      </c>
      <c r="G132" s="5" t="s">
        <v>7</v>
      </c>
      <c r="H132" s="5" t="s">
        <v>8</v>
      </c>
      <c r="I132" s="5" t="s">
        <v>9</v>
      </c>
      <c r="J132" s="5" t="s">
        <v>10</v>
      </c>
    </row>
    <row r="133">
      <c r="A133" s="12" t="s">
        <v>11</v>
      </c>
      <c r="B133" s="11">
        <v>100.0</v>
      </c>
      <c r="C133" s="11">
        <v>5000.0</v>
      </c>
      <c r="D133" s="11">
        <v>0.0</v>
      </c>
      <c r="E133" s="11">
        <v>99.2</v>
      </c>
      <c r="F133" s="11">
        <v>38.01</v>
      </c>
      <c r="G133" s="11">
        <v>1.13</v>
      </c>
      <c r="H133" s="11">
        <v>21.84</v>
      </c>
      <c r="I133" s="11">
        <v>84.2</v>
      </c>
      <c r="J133" s="7">
        <v>35.0</v>
      </c>
    </row>
    <row r="134">
      <c r="A134" s="12" t="s">
        <v>11</v>
      </c>
      <c r="B134" s="11">
        <v>200.0</v>
      </c>
      <c r="C134" s="11">
        <v>5000.0</v>
      </c>
      <c r="D134" s="11">
        <v>0.0</v>
      </c>
      <c r="E134" s="11">
        <v>198.2</v>
      </c>
      <c r="F134" s="11">
        <v>22.95</v>
      </c>
      <c r="G134" s="11">
        <v>1.29</v>
      </c>
      <c r="H134" s="11">
        <v>16.93</v>
      </c>
      <c r="I134" s="11">
        <v>136.1</v>
      </c>
      <c r="J134" s="7">
        <v>35.0</v>
      </c>
    </row>
    <row r="135">
      <c r="A135" s="12" t="s">
        <v>11</v>
      </c>
      <c r="B135" s="11">
        <v>300.0</v>
      </c>
      <c r="C135" s="11">
        <v>4996.0</v>
      </c>
      <c r="D135" s="11">
        <v>4.0</v>
      </c>
      <c r="E135" s="11">
        <v>293.9</v>
      </c>
      <c r="F135" s="11">
        <v>16.98</v>
      </c>
      <c r="G135" s="11">
        <v>1.28</v>
      </c>
      <c r="H135" s="11">
        <v>14.11</v>
      </c>
      <c r="I135" s="11">
        <v>176.6</v>
      </c>
      <c r="J135" s="7">
        <v>35.0</v>
      </c>
    </row>
    <row r="136">
      <c r="A136" s="12" t="s">
        <v>11</v>
      </c>
      <c r="B136" s="11">
        <v>400.0</v>
      </c>
      <c r="C136" s="11">
        <v>4996.0</v>
      </c>
      <c r="D136" s="11">
        <v>4.0</v>
      </c>
      <c r="E136" s="11">
        <v>384.3</v>
      </c>
      <c r="F136" s="11">
        <v>13.99</v>
      </c>
      <c r="G136" s="11">
        <v>1.32</v>
      </c>
      <c r="H136" s="11">
        <v>12.92</v>
      </c>
      <c r="I136" s="11">
        <v>195.7</v>
      </c>
      <c r="J136" s="7">
        <v>35.0</v>
      </c>
    </row>
    <row r="137">
      <c r="A137" s="12" t="s">
        <v>11</v>
      </c>
      <c r="B137" s="11">
        <v>500.0</v>
      </c>
      <c r="C137" s="11">
        <v>4994.0</v>
      </c>
      <c r="D137" s="11">
        <v>6.0</v>
      </c>
      <c r="E137" s="11">
        <v>472.0</v>
      </c>
      <c r="F137" s="11">
        <v>14.03</v>
      </c>
      <c r="G137" s="11">
        <v>1.38</v>
      </c>
      <c r="H137" s="11">
        <v>12.07</v>
      </c>
      <c r="I137" s="11">
        <v>212.8</v>
      </c>
      <c r="J137" s="7">
        <v>35.0</v>
      </c>
    </row>
    <row r="138">
      <c r="A138" s="12" t="s">
        <v>11</v>
      </c>
      <c r="B138" s="11">
        <v>600.0</v>
      </c>
      <c r="C138" s="11">
        <v>4994.0</v>
      </c>
      <c r="D138" s="11">
        <v>6.0</v>
      </c>
      <c r="E138" s="11">
        <v>572.1</v>
      </c>
      <c r="F138" s="11">
        <v>14.04</v>
      </c>
      <c r="G138" s="11">
        <v>1.26</v>
      </c>
      <c r="H138" s="11">
        <v>11.36</v>
      </c>
      <c r="I138" s="11">
        <v>228.4</v>
      </c>
      <c r="J138" s="7">
        <v>35.0</v>
      </c>
    </row>
    <row r="139">
      <c r="A139" s="12" t="s">
        <v>12</v>
      </c>
      <c r="B139" s="11">
        <v>100.0</v>
      </c>
      <c r="C139" s="11">
        <v>5020.0</v>
      </c>
      <c r="D139" s="11">
        <v>0.0</v>
      </c>
      <c r="E139" s="11">
        <v>99.1</v>
      </c>
      <c r="F139" s="11">
        <v>0.91</v>
      </c>
      <c r="G139" s="11">
        <v>-0.09</v>
      </c>
      <c r="H139" s="11">
        <v>0.37</v>
      </c>
      <c r="I139" s="11">
        <v>98.6</v>
      </c>
      <c r="J139" s="7">
        <v>41.0</v>
      </c>
    </row>
    <row r="140">
      <c r="A140" s="12" t="s">
        <v>12</v>
      </c>
      <c r="B140" s="11">
        <v>200.0</v>
      </c>
      <c r="C140" s="11">
        <v>5036.0</v>
      </c>
      <c r="D140" s="11">
        <v>0.0</v>
      </c>
      <c r="E140" s="11">
        <v>194.1</v>
      </c>
      <c r="F140" s="11">
        <v>7.69</v>
      </c>
      <c r="G140" s="11">
        <v>-1.06</v>
      </c>
      <c r="H140" s="11">
        <v>2.19</v>
      </c>
      <c r="I140" s="11">
        <v>179.0</v>
      </c>
      <c r="J140" s="7">
        <v>41.0</v>
      </c>
    </row>
    <row r="141">
      <c r="A141" s="12" t="s">
        <v>12</v>
      </c>
      <c r="B141" s="11">
        <v>300.0</v>
      </c>
      <c r="C141" s="11">
        <v>5049.0</v>
      </c>
      <c r="D141" s="11">
        <v>3.0</v>
      </c>
      <c r="E141" s="11">
        <v>290.2</v>
      </c>
      <c r="F141" s="11">
        <v>7.15</v>
      </c>
      <c r="G141" s="11">
        <v>-0.93</v>
      </c>
      <c r="H141" s="11">
        <v>1.9</v>
      </c>
      <c r="I141" s="11">
        <v>253.7</v>
      </c>
      <c r="J141" s="7">
        <v>41.0</v>
      </c>
    </row>
    <row r="142">
      <c r="A142" s="12" t="s">
        <v>12</v>
      </c>
      <c r="B142" s="11">
        <v>400.0</v>
      </c>
      <c r="C142" s="11">
        <v>5180.0</v>
      </c>
      <c r="D142" s="11">
        <v>2.0</v>
      </c>
      <c r="E142" s="11">
        <v>388.0</v>
      </c>
      <c r="F142" s="11">
        <v>3.08</v>
      </c>
      <c r="G142" s="11">
        <v>-0.72</v>
      </c>
      <c r="H142" s="11">
        <v>0.89</v>
      </c>
      <c r="I142" s="11">
        <v>328.8</v>
      </c>
      <c r="J142" s="7">
        <v>41.0</v>
      </c>
    </row>
    <row r="143">
      <c r="A143" s="12" t="s">
        <v>12</v>
      </c>
      <c r="B143" s="11">
        <v>500.0</v>
      </c>
      <c r="C143" s="11">
        <v>5880.0</v>
      </c>
      <c r="D143" s="11">
        <v>8.0</v>
      </c>
      <c r="E143" s="11">
        <v>443.8</v>
      </c>
      <c r="F143" s="11">
        <v>5.63</v>
      </c>
      <c r="G143" s="13">
        <v>0.0</v>
      </c>
      <c r="H143" s="11">
        <v>1.79</v>
      </c>
      <c r="I143" s="11">
        <v>368.5</v>
      </c>
      <c r="J143" s="7">
        <v>41.0</v>
      </c>
    </row>
    <row r="144">
      <c r="A144" s="12" t="s">
        <v>14</v>
      </c>
      <c r="B144" s="11">
        <v>100.0</v>
      </c>
      <c r="C144" s="11">
        <v>5000.0</v>
      </c>
      <c r="D144" s="11">
        <v>0.0</v>
      </c>
      <c r="E144" s="11">
        <v>99.5</v>
      </c>
      <c r="F144" s="11">
        <v>52.9</v>
      </c>
      <c r="G144" s="11">
        <v>6.52</v>
      </c>
      <c r="H144" s="11">
        <v>38.31</v>
      </c>
      <c r="I144" s="11">
        <v>66.4</v>
      </c>
      <c r="J144" s="7">
        <v>91.0</v>
      </c>
    </row>
    <row r="145">
      <c r="A145" s="12" t="s">
        <v>14</v>
      </c>
      <c r="B145" s="11">
        <v>200.0</v>
      </c>
      <c r="C145" s="11">
        <v>5000.0</v>
      </c>
      <c r="D145" s="11">
        <v>0.0</v>
      </c>
      <c r="E145" s="11">
        <v>196.5</v>
      </c>
      <c r="F145" s="11">
        <v>62.35</v>
      </c>
      <c r="G145" s="11">
        <v>6.89</v>
      </c>
      <c r="H145" s="11">
        <v>53.36</v>
      </c>
      <c r="I145" s="11">
        <v>66.0</v>
      </c>
      <c r="J145" s="7">
        <v>91.0</v>
      </c>
    </row>
    <row r="146">
      <c r="A146" s="12" t="s">
        <v>14</v>
      </c>
      <c r="B146" s="11">
        <v>200.0</v>
      </c>
      <c r="C146" s="11">
        <v>5000.0</v>
      </c>
      <c r="D146" s="11">
        <v>0.0</v>
      </c>
      <c r="E146" s="11">
        <v>198.5</v>
      </c>
      <c r="F146" s="11">
        <v>53.32</v>
      </c>
      <c r="G146" s="11">
        <v>8.43</v>
      </c>
      <c r="H146" s="11">
        <v>41.68</v>
      </c>
      <c r="I146" s="11">
        <v>77.5</v>
      </c>
      <c r="J146" s="7">
        <v>91.0</v>
      </c>
    </row>
    <row r="147">
      <c r="A147" s="12" t="s">
        <v>14</v>
      </c>
      <c r="B147" s="11">
        <v>300.0</v>
      </c>
      <c r="C147" s="11">
        <v>4996.0</v>
      </c>
      <c r="D147" s="11">
        <v>4.0</v>
      </c>
      <c r="E147" s="11">
        <v>295.7</v>
      </c>
      <c r="F147" s="11">
        <v>63.99</v>
      </c>
      <c r="G147" s="11">
        <v>12.83</v>
      </c>
      <c r="H147" s="11">
        <v>54.08</v>
      </c>
      <c r="I147" s="11">
        <v>68.8</v>
      </c>
      <c r="J147" s="7">
        <v>91.0</v>
      </c>
    </row>
    <row r="148">
      <c r="A148" s="12" t="s">
        <v>14</v>
      </c>
      <c r="B148" s="11">
        <v>400.0</v>
      </c>
      <c r="C148" s="11">
        <v>4995.0</v>
      </c>
      <c r="D148" s="11">
        <v>5.0</v>
      </c>
      <c r="E148" s="11">
        <v>389.1</v>
      </c>
      <c r="F148" s="11">
        <v>68.15</v>
      </c>
      <c r="G148" s="11">
        <v>16.37</v>
      </c>
      <c r="H148" s="11">
        <v>57.11</v>
      </c>
      <c r="I148" s="11">
        <v>68.3</v>
      </c>
      <c r="J148" s="7">
        <v>91.0</v>
      </c>
    </row>
    <row r="149">
      <c r="A149" s="12" t="s">
        <v>14</v>
      </c>
      <c r="B149" s="11">
        <v>500.0</v>
      </c>
      <c r="C149" s="11">
        <v>4993.0</v>
      </c>
      <c r="D149" s="11">
        <v>7.0</v>
      </c>
      <c r="E149" s="11">
        <f>5/4*E148</f>
        <v>486.375</v>
      </c>
      <c r="F149" s="11">
        <v>70.15</v>
      </c>
      <c r="G149" s="11">
        <v>19.83</v>
      </c>
      <c r="H149" s="11">
        <v>62.74</v>
      </c>
      <c r="I149" s="11">
        <v>70.51</v>
      </c>
      <c r="J149" s="7">
        <v>91.0</v>
      </c>
    </row>
    <row r="150">
      <c r="A150" s="12" t="s">
        <v>15</v>
      </c>
      <c r="B150" s="11">
        <v>100.0</v>
      </c>
      <c r="C150" s="11">
        <v>3336.0</v>
      </c>
      <c r="D150" s="11">
        <v>1664.0</v>
      </c>
      <c r="E150" s="11">
        <v>99.1</v>
      </c>
      <c r="F150" s="11">
        <v>36.71</v>
      </c>
      <c r="G150" s="11">
        <v>0.99</v>
      </c>
      <c r="H150" s="11">
        <v>22.12</v>
      </c>
      <c r="I150" s="11">
        <v>85.2</v>
      </c>
      <c r="J150" s="7">
        <v>91.0</v>
      </c>
    </row>
    <row r="151">
      <c r="A151" s="12" t="s">
        <v>15</v>
      </c>
      <c r="B151" s="11">
        <v>200.0</v>
      </c>
      <c r="C151" s="11">
        <v>3400.0</v>
      </c>
      <c r="D151" s="11">
        <v>1600.0</v>
      </c>
      <c r="E151" s="11">
        <v>197.8</v>
      </c>
      <c r="F151" s="11">
        <v>22.39</v>
      </c>
      <c r="G151" s="11">
        <v>0.94</v>
      </c>
      <c r="H151" s="11">
        <v>16.4</v>
      </c>
      <c r="I151" s="11">
        <v>138.7</v>
      </c>
      <c r="J151" s="7">
        <v>40.0</v>
      </c>
    </row>
    <row r="152">
      <c r="A152" s="12" t="s">
        <v>15</v>
      </c>
      <c r="B152" s="11">
        <v>300.0</v>
      </c>
      <c r="C152" s="11">
        <v>3365.0</v>
      </c>
      <c r="D152" s="11">
        <v>1635.0</v>
      </c>
      <c r="E152" s="11">
        <v>289.1</v>
      </c>
      <c r="F152" s="11">
        <v>16.54</v>
      </c>
      <c r="G152" s="11">
        <v>0.98</v>
      </c>
      <c r="H152" s="11">
        <v>13.79</v>
      </c>
      <c r="I152" s="11">
        <v>173.6</v>
      </c>
      <c r="J152" s="7">
        <v>40.0</v>
      </c>
    </row>
    <row r="153">
      <c r="A153" s="12" t="s">
        <v>15</v>
      </c>
      <c r="B153" s="11">
        <v>400.0</v>
      </c>
      <c r="C153" s="11">
        <v>3374.0</v>
      </c>
      <c r="D153" s="11">
        <v>1626.0</v>
      </c>
      <c r="E153" s="11">
        <v>384.3</v>
      </c>
      <c r="F153" s="11">
        <v>13.29</v>
      </c>
      <c r="G153" s="11">
        <v>1.01</v>
      </c>
      <c r="H153" s="11">
        <v>12.31</v>
      </c>
      <c r="I153" s="11">
        <v>194.2</v>
      </c>
      <c r="J153" s="7">
        <v>40.0</v>
      </c>
    </row>
    <row r="154">
      <c r="A154" s="12" t="s">
        <v>15</v>
      </c>
      <c r="B154" s="11">
        <v>500.0</v>
      </c>
      <c r="C154" s="11">
        <v>3346.0</v>
      </c>
      <c r="D154" s="11">
        <v>1654.0</v>
      </c>
      <c r="E154" s="11">
        <v>475.4</v>
      </c>
      <c r="F154" s="11">
        <v>12.56</v>
      </c>
      <c r="G154" s="11">
        <v>1.05</v>
      </c>
      <c r="H154" s="11">
        <v>10.8</v>
      </c>
      <c r="I154" s="11">
        <v>220.6</v>
      </c>
      <c r="J154" s="7">
        <v>40.0</v>
      </c>
    </row>
    <row r="155">
      <c r="A155" s="12" t="s">
        <v>16</v>
      </c>
      <c r="B155" s="11">
        <v>100.0</v>
      </c>
      <c r="C155" s="11">
        <v>5000.0</v>
      </c>
      <c r="D155" s="11">
        <v>0.0</v>
      </c>
      <c r="E155" s="11">
        <v>99.2</v>
      </c>
      <c r="F155" s="11">
        <v>37.86</v>
      </c>
      <c r="G155" s="11">
        <v>0.93</v>
      </c>
      <c r="H155" s="11">
        <v>23.12</v>
      </c>
      <c r="I155" s="11">
        <v>80.1</v>
      </c>
      <c r="J155" s="7">
        <v>64.0</v>
      </c>
    </row>
    <row r="156">
      <c r="A156" s="12" t="s">
        <v>16</v>
      </c>
      <c r="B156" s="11">
        <v>200.0</v>
      </c>
      <c r="C156" s="11">
        <v>5000.0</v>
      </c>
      <c r="D156" s="11">
        <v>0.0</v>
      </c>
      <c r="E156" s="11">
        <v>195.5</v>
      </c>
      <c r="F156" s="11">
        <v>22.25</v>
      </c>
      <c r="G156" s="11">
        <v>0.86</v>
      </c>
      <c r="H156" s="11">
        <v>15.18</v>
      </c>
      <c r="I156" s="11">
        <v>134.7</v>
      </c>
      <c r="J156" s="7">
        <v>64.0</v>
      </c>
    </row>
    <row r="157">
      <c r="A157" s="12" t="s">
        <v>16</v>
      </c>
      <c r="B157" s="11">
        <v>300.0</v>
      </c>
      <c r="C157" s="11">
        <v>4999.0</v>
      </c>
      <c r="D157" s="11">
        <v>1.0</v>
      </c>
      <c r="E157" s="11">
        <v>292.1</v>
      </c>
      <c r="F157" s="11">
        <v>16.31</v>
      </c>
      <c r="G157" s="11">
        <v>0.92</v>
      </c>
      <c r="H157" s="11">
        <v>14.47</v>
      </c>
      <c r="I157" s="11">
        <v>164.6</v>
      </c>
      <c r="J157" s="7">
        <v>64.0</v>
      </c>
    </row>
    <row r="158">
      <c r="A158" s="12" t="s">
        <v>16</v>
      </c>
      <c r="B158" s="11">
        <v>400.0</v>
      </c>
      <c r="C158" s="11">
        <v>4995.0</v>
      </c>
      <c r="D158" s="11">
        <v>5.0</v>
      </c>
      <c r="E158" s="11">
        <v>388.6</v>
      </c>
      <c r="F158" s="11">
        <v>14.66</v>
      </c>
      <c r="G158" s="11">
        <v>1.0</v>
      </c>
      <c r="H158" s="11">
        <v>12.47</v>
      </c>
      <c r="I158" s="11">
        <v>184.9</v>
      </c>
      <c r="J158" s="7">
        <v>64.0</v>
      </c>
    </row>
    <row r="159">
      <c r="A159" s="12" t="s">
        <v>16</v>
      </c>
      <c r="B159" s="11">
        <v>500.0</v>
      </c>
      <c r="C159" s="11">
        <v>4996.0</v>
      </c>
      <c r="D159" s="11">
        <v>4.0</v>
      </c>
      <c r="E159" s="11">
        <v>482.8</v>
      </c>
      <c r="F159" s="11">
        <v>15.99</v>
      </c>
      <c r="G159" s="11">
        <v>0.93</v>
      </c>
      <c r="H159" s="11">
        <v>12.38</v>
      </c>
      <c r="I159" s="11">
        <v>191.8</v>
      </c>
      <c r="J159" s="7">
        <v>64.0</v>
      </c>
    </row>
    <row r="160">
      <c r="A160" s="12" t="s">
        <v>16</v>
      </c>
      <c r="B160" s="11">
        <v>600.0</v>
      </c>
      <c r="C160" s="11">
        <v>4997.0</v>
      </c>
      <c r="D160" s="11">
        <v>3.0</v>
      </c>
      <c r="E160" s="11">
        <v>572.1</v>
      </c>
      <c r="F160" s="11">
        <v>15.29</v>
      </c>
      <c r="G160" s="11">
        <v>0.98</v>
      </c>
      <c r="H160" s="11">
        <v>11.51</v>
      </c>
      <c r="I160" s="11">
        <v>212.3</v>
      </c>
      <c r="J160" s="7">
        <v>64.0</v>
      </c>
    </row>
    <row r="161">
      <c r="A161" s="12" t="s">
        <v>17</v>
      </c>
      <c r="B161" s="11">
        <v>100.0</v>
      </c>
      <c r="C161" s="11">
        <v>5000.0</v>
      </c>
      <c r="D161" s="11">
        <v>0.0</v>
      </c>
      <c r="E161" s="11">
        <v>99.37</v>
      </c>
      <c r="F161" s="11">
        <v>15.84</v>
      </c>
      <c r="G161" s="11">
        <v>0.49</v>
      </c>
      <c r="H161" s="13">
        <v>11.1</v>
      </c>
      <c r="I161" s="13">
        <v>86.3</v>
      </c>
      <c r="J161" s="7">
        <v>483.0</v>
      </c>
    </row>
    <row r="162">
      <c r="A162" s="12" t="s">
        <v>17</v>
      </c>
      <c r="B162" s="11">
        <v>200.0</v>
      </c>
      <c r="C162" s="11">
        <v>5000.0</v>
      </c>
      <c r="D162" s="11">
        <v>0.0</v>
      </c>
      <c r="E162" s="11">
        <v>194.9</v>
      </c>
      <c r="F162" s="11">
        <v>18.02</v>
      </c>
      <c r="G162" s="11">
        <v>0.52</v>
      </c>
      <c r="H162" s="11">
        <v>12.7</v>
      </c>
      <c r="I162" s="11">
        <v>136.0</v>
      </c>
      <c r="J162" s="7">
        <v>483.0</v>
      </c>
    </row>
    <row r="163">
      <c r="A163" s="12" t="s">
        <v>17</v>
      </c>
      <c r="B163" s="11">
        <v>300.0</v>
      </c>
      <c r="C163" s="11">
        <v>5000.0</v>
      </c>
      <c r="D163" s="11">
        <v>0.0</v>
      </c>
      <c r="E163" s="11">
        <v>293.9</v>
      </c>
      <c r="F163" s="11">
        <v>13.19</v>
      </c>
      <c r="G163" s="11">
        <v>0.54</v>
      </c>
      <c r="H163" s="11">
        <v>9.9</v>
      </c>
      <c r="I163" s="11">
        <v>171.6</v>
      </c>
      <c r="J163" s="7">
        <v>483.0</v>
      </c>
    </row>
    <row r="164">
      <c r="A164" s="12" t="s">
        <v>17</v>
      </c>
      <c r="B164" s="11">
        <v>400.0</v>
      </c>
      <c r="C164" s="11">
        <v>4996.0</v>
      </c>
      <c r="D164" s="11">
        <v>4.0</v>
      </c>
      <c r="E164" s="11">
        <v>383.8</v>
      </c>
      <c r="F164" s="11">
        <v>13.34</v>
      </c>
      <c r="G164" s="11">
        <v>0.53</v>
      </c>
      <c r="H164" s="11">
        <v>9.79</v>
      </c>
      <c r="I164" s="11">
        <v>191.3</v>
      </c>
      <c r="J164" s="7">
        <v>483.0</v>
      </c>
    </row>
    <row r="165">
      <c r="A165" s="12" t="s">
        <v>17</v>
      </c>
      <c r="B165" s="11">
        <v>500.0</v>
      </c>
      <c r="C165" s="11">
        <v>4990.0</v>
      </c>
      <c r="D165" s="11">
        <v>3.0</v>
      </c>
      <c r="E165" s="11">
        <v>482.4</v>
      </c>
      <c r="F165" s="11">
        <v>15.7</v>
      </c>
      <c r="G165" s="11">
        <v>0.67</v>
      </c>
      <c r="H165" s="11">
        <v>11.02</v>
      </c>
      <c r="I165" s="11">
        <v>193.4</v>
      </c>
      <c r="J165" s="7">
        <v>483.0</v>
      </c>
    </row>
    <row r="171">
      <c r="A171" s="1" t="s">
        <v>25</v>
      </c>
      <c r="B171" s="2"/>
      <c r="C171" s="2"/>
      <c r="D171" s="2"/>
      <c r="E171" s="2"/>
      <c r="F171" s="2"/>
      <c r="G171" s="2"/>
      <c r="H171" s="2"/>
      <c r="I171" s="2"/>
      <c r="J171" s="3"/>
    </row>
    <row r="173">
      <c r="A173" s="14" t="s">
        <v>1</v>
      </c>
      <c r="B173" s="14" t="s">
        <v>2</v>
      </c>
      <c r="C173" s="15" t="s">
        <v>26</v>
      </c>
      <c r="D173" s="14" t="s">
        <v>3</v>
      </c>
      <c r="E173" s="14" t="s">
        <v>4</v>
      </c>
      <c r="F173" s="14" t="s">
        <v>5</v>
      </c>
      <c r="G173" s="14" t="s">
        <v>6</v>
      </c>
      <c r="H173" s="14" t="s">
        <v>7</v>
      </c>
      <c r="I173" s="14" t="s">
        <v>8</v>
      </c>
      <c r="J173" s="14" t="s">
        <v>9</v>
      </c>
    </row>
    <row r="174">
      <c r="A174" s="12" t="s">
        <v>20</v>
      </c>
      <c r="B174" s="11">
        <v>10.0</v>
      </c>
      <c r="C174" s="11">
        <v>6.67</v>
      </c>
      <c r="D174" s="11">
        <v>5000.0</v>
      </c>
      <c r="E174" s="11">
        <v>0.0</v>
      </c>
      <c r="F174" s="11">
        <v>10.0</v>
      </c>
      <c r="G174" s="11">
        <v>0.95</v>
      </c>
      <c r="H174" s="11">
        <v>-0.09</v>
      </c>
      <c r="I174" s="11">
        <v>0.53</v>
      </c>
      <c r="J174" s="11">
        <v>10.0</v>
      </c>
    </row>
    <row r="175">
      <c r="A175" s="12" t="s">
        <v>20</v>
      </c>
      <c r="B175" s="11">
        <v>10.0</v>
      </c>
      <c r="C175" s="11">
        <v>6.67</v>
      </c>
      <c r="D175" s="11">
        <v>5000.0</v>
      </c>
      <c r="E175" s="11">
        <v>0.0</v>
      </c>
      <c r="F175" s="11">
        <v>10.0</v>
      </c>
      <c r="G175" s="11">
        <v>1.88</v>
      </c>
      <c r="H175" s="11">
        <v>0.24</v>
      </c>
      <c r="I175" s="11">
        <v>0.66</v>
      </c>
      <c r="J175" s="11">
        <v>10.0</v>
      </c>
    </row>
    <row r="176">
      <c r="A176" s="12" t="s">
        <v>20</v>
      </c>
      <c r="B176" s="11">
        <v>10.0</v>
      </c>
      <c r="C176" s="13">
        <v>13.2</v>
      </c>
      <c r="D176" s="11">
        <v>5000.0</v>
      </c>
      <c r="E176" s="11">
        <v>0.0</v>
      </c>
      <c r="F176" s="11">
        <v>10.0</v>
      </c>
      <c r="G176" s="11">
        <v>1.44</v>
      </c>
      <c r="H176" s="11">
        <v>-0.32</v>
      </c>
      <c r="I176" s="11">
        <v>0.6</v>
      </c>
      <c r="J176" s="11">
        <v>10.0</v>
      </c>
    </row>
    <row r="177">
      <c r="A177" s="12" t="s">
        <v>20</v>
      </c>
      <c r="B177" s="11">
        <v>10.0</v>
      </c>
      <c r="C177" s="11">
        <v>20.01</v>
      </c>
      <c r="D177" s="11">
        <v>5000.0</v>
      </c>
      <c r="E177" s="11">
        <v>0.0</v>
      </c>
      <c r="F177" s="11">
        <v>10.0</v>
      </c>
      <c r="G177" s="11">
        <v>1.08</v>
      </c>
      <c r="H177" s="11">
        <v>-0.06</v>
      </c>
      <c r="I177" s="11">
        <v>0.52</v>
      </c>
      <c r="J177" s="11">
        <v>10.0</v>
      </c>
    </row>
    <row r="178">
      <c r="A178" s="12" t="s">
        <v>20</v>
      </c>
      <c r="B178" s="11">
        <v>10.0</v>
      </c>
      <c r="C178" s="11">
        <v>26.68</v>
      </c>
      <c r="D178" s="11">
        <v>5000.0</v>
      </c>
      <c r="E178" s="11">
        <v>0.0</v>
      </c>
      <c r="F178" s="11">
        <v>10.0</v>
      </c>
      <c r="G178" s="11">
        <v>1.08</v>
      </c>
      <c r="H178" s="11">
        <v>0.09</v>
      </c>
      <c r="I178" s="11">
        <v>0.59</v>
      </c>
      <c r="J178" s="11">
        <v>10.0</v>
      </c>
    </row>
    <row r="179">
      <c r="A179" s="12" t="s">
        <v>20</v>
      </c>
      <c r="B179" s="11">
        <v>10.0</v>
      </c>
      <c r="C179" s="13">
        <v>33.0</v>
      </c>
      <c r="D179" s="11">
        <v>5000.0</v>
      </c>
      <c r="E179" s="11">
        <v>0.0</v>
      </c>
      <c r="F179" s="11">
        <v>10.0</v>
      </c>
      <c r="G179" s="11">
        <v>0.84</v>
      </c>
      <c r="H179" s="11">
        <v>0.17</v>
      </c>
      <c r="I179" s="11">
        <v>0.56</v>
      </c>
      <c r="J179" s="11">
        <v>10.0</v>
      </c>
    </row>
    <row r="180">
      <c r="A180" s="12" t="s">
        <v>20</v>
      </c>
      <c r="B180" s="11">
        <v>10.0</v>
      </c>
      <c r="C180" s="13">
        <v>33.0</v>
      </c>
      <c r="D180" s="11">
        <v>5000.0</v>
      </c>
      <c r="E180" s="11">
        <v>0.0</v>
      </c>
      <c r="F180" s="11">
        <v>10.0</v>
      </c>
      <c r="G180" s="11">
        <v>2.04</v>
      </c>
      <c r="H180" s="11">
        <v>0.4</v>
      </c>
      <c r="I180" s="11">
        <v>0.75</v>
      </c>
      <c r="J180" s="11">
        <v>10.0</v>
      </c>
    </row>
    <row r="181">
      <c r="A181" s="12" t="s">
        <v>20</v>
      </c>
      <c r="B181" s="11">
        <v>10.0</v>
      </c>
      <c r="C181" s="11">
        <v>40.02</v>
      </c>
      <c r="D181" s="11">
        <v>5000.0</v>
      </c>
      <c r="E181" s="11">
        <v>0.0</v>
      </c>
      <c r="F181" s="11">
        <v>10.0</v>
      </c>
      <c r="G181" s="11">
        <v>1.39</v>
      </c>
      <c r="H181" s="11">
        <v>0.45</v>
      </c>
      <c r="I181" s="11">
        <v>0.86</v>
      </c>
      <c r="J181" s="11">
        <v>10.0</v>
      </c>
    </row>
    <row r="182">
      <c r="A182" s="12" t="s">
        <v>20</v>
      </c>
      <c r="B182" s="11">
        <v>10.0</v>
      </c>
      <c r="C182" s="11">
        <v>46.690000000000005</v>
      </c>
      <c r="D182" s="11">
        <v>5000.0</v>
      </c>
      <c r="E182" s="11">
        <v>0.0</v>
      </c>
      <c r="F182" s="11">
        <v>10.0</v>
      </c>
      <c r="G182" s="11">
        <v>1.07</v>
      </c>
      <c r="H182" s="11">
        <v>0.37</v>
      </c>
      <c r="I182" s="11">
        <v>0.65</v>
      </c>
      <c r="J182" s="11">
        <v>10.0</v>
      </c>
    </row>
    <row r="183">
      <c r="A183" s="12" t="s">
        <v>20</v>
      </c>
      <c r="B183" s="11">
        <v>10.0</v>
      </c>
      <c r="C183" s="11">
        <v>53.36</v>
      </c>
      <c r="D183" s="11">
        <v>5000.0</v>
      </c>
      <c r="E183" s="11">
        <v>0.0</v>
      </c>
      <c r="F183" s="11">
        <v>10.0</v>
      </c>
      <c r="G183" s="11">
        <v>1.07</v>
      </c>
      <c r="H183" s="11">
        <v>0.36</v>
      </c>
      <c r="I183" s="11">
        <v>0.73</v>
      </c>
      <c r="J183" s="11">
        <v>10.0</v>
      </c>
    </row>
    <row r="184">
      <c r="A184" s="12" t="s">
        <v>20</v>
      </c>
      <c r="B184" s="11">
        <v>10.0</v>
      </c>
      <c r="C184" s="11">
        <v>60.03</v>
      </c>
      <c r="D184" s="11">
        <v>5000.0</v>
      </c>
      <c r="E184" s="11">
        <v>0.0</v>
      </c>
      <c r="F184" s="11">
        <v>10.0</v>
      </c>
      <c r="G184" s="11">
        <v>0.85</v>
      </c>
      <c r="H184" s="11">
        <v>0.47</v>
      </c>
      <c r="I184" s="11">
        <v>0.66</v>
      </c>
      <c r="J184" s="11">
        <v>10.0</v>
      </c>
    </row>
    <row r="185">
      <c r="A185" s="12" t="s">
        <v>20</v>
      </c>
      <c r="B185" s="11">
        <v>10.0</v>
      </c>
      <c r="C185" s="11">
        <v>66.7</v>
      </c>
      <c r="D185" s="11">
        <v>5000.0</v>
      </c>
      <c r="E185" s="11">
        <v>0.0</v>
      </c>
      <c r="F185" s="11">
        <v>10.0</v>
      </c>
      <c r="G185" s="11">
        <v>0.87</v>
      </c>
      <c r="H185" s="11">
        <v>0.47</v>
      </c>
      <c r="I185" s="11">
        <v>0.68</v>
      </c>
      <c r="J185" s="11">
        <v>10.0</v>
      </c>
    </row>
    <row r="186">
      <c r="A186" s="12" t="s">
        <v>20</v>
      </c>
      <c r="B186" s="11">
        <v>10.0</v>
      </c>
      <c r="C186" s="11">
        <v>66.7</v>
      </c>
      <c r="D186" s="11">
        <v>5000.0</v>
      </c>
      <c r="E186" s="11">
        <v>0.0</v>
      </c>
      <c r="F186" s="11">
        <v>10.0</v>
      </c>
      <c r="G186" s="11">
        <v>1.94</v>
      </c>
      <c r="H186" s="11">
        <v>0.24</v>
      </c>
      <c r="I186" s="11">
        <v>0.89</v>
      </c>
      <c r="J186" s="11">
        <v>10.0</v>
      </c>
    </row>
    <row r="187">
      <c r="A187" s="12" t="s">
        <v>20</v>
      </c>
      <c r="B187" s="11">
        <v>10.0</v>
      </c>
      <c r="C187" s="11">
        <v>66.7</v>
      </c>
      <c r="D187" s="11">
        <v>5000.0</v>
      </c>
      <c r="E187" s="11">
        <v>0.0</v>
      </c>
      <c r="F187" s="11">
        <v>10.0</v>
      </c>
      <c r="G187" s="11">
        <v>2.32</v>
      </c>
      <c r="H187" s="11">
        <v>0.09</v>
      </c>
      <c r="I187" s="11">
        <v>0.89</v>
      </c>
      <c r="J187" s="11">
        <v>10.0</v>
      </c>
    </row>
    <row r="188">
      <c r="A188" s="12" t="s">
        <v>20</v>
      </c>
      <c r="B188" s="11">
        <v>10.0</v>
      </c>
      <c r="C188" s="13">
        <v>73.37</v>
      </c>
      <c r="D188" s="11">
        <v>1641.0</v>
      </c>
      <c r="E188" s="11">
        <v>3359.0</v>
      </c>
      <c r="F188" s="11">
        <v>10.0</v>
      </c>
      <c r="G188" s="11">
        <v>304.61</v>
      </c>
      <c r="H188" s="11">
        <v>0.88</v>
      </c>
      <c r="I188" s="11">
        <v>153.53</v>
      </c>
      <c r="J188" s="11">
        <v>6.2</v>
      </c>
    </row>
    <row r="189">
      <c r="A189" s="12" t="s">
        <v>20</v>
      </c>
      <c r="B189" s="11">
        <v>10.0</v>
      </c>
      <c r="C189" s="13">
        <v>80.04</v>
      </c>
      <c r="D189" s="11">
        <v>1629.0</v>
      </c>
      <c r="E189" s="11">
        <v>3371.0</v>
      </c>
      <c r="F189" s="11">
        <v>10.0</v>
      </c>
      <c r="G189" s="11">
        <v>305.08</v>
      </c>
      <c r="H189" s="11">
        <v>0.87</v>
      </c>
      <c r="I189" s="11">
        <v>153.54</v>
      </c>
      <c r="J189" s="11">
        <v>6.2</v>
      </c>
    </row>
    <row r="190">
      <c r="A190" s="12" t="s">
        <v>20</v>
      </c>
      <c r="B190" s="11">
        <v>10.0</v>
      </c>
      <c r="C190" s="13">
        <v>86.71</v>
      </c>
      <c r="D190" s="11">
        <v>1654.0</v>
      </c>
      <c r="E190" s="11">
        <v>3346.0</v>
      </c>
      <c r="F190" s="11">
        <v>10.0</v>
      </c>
      <c r="G190" s="11">
        <v>305.69</v>
      </c>
      <c r="H190" s="11">
        <v>1.03</v>
      </c>
      <c r="I190" s="11">
        <v>151.6</v>
      </c>
      <c r="J190" s="11">
        <v>6.2</v>
      </c>
    </row>
    <row r="191">
      <c r="A191" s="12" t="s">
        <v>20</v>
      </c>
      <c r="B191" s="11">
        <v>10.0</v>
      </c>
      <c r="C191" s="11">
        <v>100.05000000000001</v>
      </c>
      <c r="D191" s="11">
        <v>1700.0</v>
      </c>
      <c r="E191" s="11">
        <v>3300.0</v>
      </c>
      <c r="F191" s="11">
        <v>10.0</v>
      </c>
      <c r="G191" s="11">
        <v>302.9</v>
      </c>
      <c r="H191" s="11">
        <v>0.81</v>
      </c>
      <c r="I191" s="11">
        <v>154.92</v>
      </c>
      <c r="J191" s="11">
        <v>6.2</v>
      </c>
    </row>
    <row r="192">
      <c r="A192" s="12" t="s">
        <v>20</v>
      </c>
      <c r="B192" s="11">
        <v>10.0</v>
      </c>
      <c r="C192" s="11">
        <v>133.4</v>
      </c>
      <c r="D192" s="11">
        <v>1630.0</v>
      </c>
      <c r="E192" s="11">
        <v>3370.0</v>
      </c>
      <c r="F192" s="11">
        <v>10.0</v>
      </c>
      <c r="G192" s="11">
        <v>304.28</v>
      </c>
      <c r="H192" s="11">
        <v>1.09</v>
      </c>
      <c r="I192" s="11">
        <v>151.91</v>
      </c>
      <c r="J192" s="11">
        <v>6.2</v>
      </c>
    </row>
    <row r="193">
      <c r="A193" s="12" t="s">
        <v>20</v>
      </c>
      <c r="B193" s="11">
        <v>10.0</v>
      </c>
      <c r="C193" s="11">
        <v>166.75</v>
      </c>
      <c r="D193" s="11">
        <v>584.0</v>
      </c>
      <c r="E193" s="11">
        <v>4416.0</v>
      </c>
      <c r="F193" s="11">
        <v>10.0</v>
      </c>
      <c r="G193" s="11">
        <v>303.43</v>
      </c>
      <c r="H193" s="11">
        <v>1.07</v>
      </c>
      <c r="I193" s="11">
        <v>153.51</v>
      </c>
      <c r="J193" s="11">
        <v>6.2</v>
      </c>
    </row>
    <row r="194">
      <c r="A194" s="12" t="s">
        <v>20</v>
      </c>
      <c r="B194" s="11">
        <v>10.0</v>
      </c>
      <c r="C194" s="13">
        <v>200.1</v>
      </c>
      <c r="D194" s="11">
        <v>587.0</v>
      </c>
      <c r="E194" s="11">
        <v>4413.0</v>
      </c>
      <c r="F194" s="11">
        <v>10.0</v>
      </c>
      <c r="G194" s="11">
        <v>303.05</v>
      </c>
      <c r="H194" s="11">
        <v>1.6</v>
      </c>
      <c r="I194" s="11">
        <v>152.55</v>
      </c>
      <c r="J194" s="11">
        <v>6.2</v>
      </c>
    </row>
    <row r="195">
      <c r="A195" s="12" t="s">
        <v>20</v>
      </c>
      <c r="B195" s="11">
        <v>20.0</v>
      </c>
      <c r="C195" s="11">
        <v>6.67</v>
      </c>
      <c r="D195" s="11">
        <v>4550.0</v>
      </c>
      <c r="E195" s="11">
        <v>450.0</v>
      </c>
      <c r="F195" s="11">
        <v>20.0</v>
      </c>
      <c r="G195" s="11">
        <v>232.1</v>
      </c>
      <c r="H195" s="11">
        <v>0.41</v>
      </c>
      <c r="I195" s="11">
        <v>149.78</v>
      </c>
      <c r="J195" s="11">
        <v>11.8</v>
      </c>
    </row>
    <row r="196">
      <c r="A196" s="12" t="s">
        <v>20</v>
      </c>
      <c r="B196" s="11">
        <v>20.0</v>
      </c>
      <c r="C196" s="13">
        <v>13.2</v>
      </c>
      <c r="D196" s="11">
        <v>4523.0</v>
      </c>
      <c r="E196" s="11">
        <v>477.0</v>
      </c>
      <c r="F196" s="11">
        <v>20.0</v>
      </c>
      <c r="G196" s="11">
        <v>234.2</v>
      </c>
      <c r="H196" s="11">
        <v>0.42</v>
      </c>
      <c r="I196" s="11">
        <v>155.49</v>
      </c>
      <c r="J196" s="11">
        <v>10.7</v>
      </c>
    </row>
    <row r="197">
      <c r="A197" s="12" t="s">
        <v>20</v>
      </c>
      <c r="B197" s="11">
        <v>20.0</v>
      </c>
      <c r="C197" s="11">
        <v>20.01</v>
      </c>
      <c r="D197" s="11">
        <v>4352.0</v>
      </c>
      <c r="E197" s="11">
        <v>648.0</v>
      </c>
      <c r="F197" s="11">
        <v>20.0</v>
      </c>
      <c r="G197" s="11">
        <v>244.74</v>
      </c>
      <c r="H197" s="11">
        <v>0.43</v>
      </c>
      <c r="I197" s="11">
        <v>133.47</v>
      </c>
      <c r="J197" s="11">
        <v>11.6</v>
      </c>
    </row>
    <row r="198">
      <c r="A198" s="12" t="s">
        <v>20</v>
      </c>
      <c r="B198" s="11">
        <v>20.0</v>
      </c>
      <c r="C198" s="11">
        <v>26.68</v>
      </c>
      <c r="D198" s="11">
        <v>4368.0</v>
      </c>
      <c r="E198" s="11">
        <v>632.0</v>
      </c>
      <c r="F198" s="11">
        <v>20.0</v>
      </c>
      <c r="G198" s="11">
        <v>239.83</v>
      </c>
      <c r="H198" s="11">
        <v>0.51</v>
      </c>
      <c r="I198" s="11">
        <v>136.16</v>
      </c>
      <c r="J198" s="11">
        <v>12.1</v>
      </c>
    </row>
    <row r="199">
      <c r="A199" s="12" t="s">
        <v>20</v>
      </c>
      <c r="B199" s="11">
        <v>20.0</v>
      </c>
      <c r="C199" s="13">
        <v>33.0</v>
      </c>
      <c r="D199" s="11">
        <v>4452.0</v>
      </c>
      <c r="E199" s="11">
        <v>548.0</v>
      </c>
      <c r="F199" s="11">
        <v>20.0</v>
      </c>
      <c r="G199" s="11">
        <v>232.57</v>
      </c>
      <c r="H199" s="11">
        <v>0.42</v>
      </c>
      <c r="I199" s="11">
        <v>148.99</v>
      </c>
      <c r="J199" s="11">
        <v>12.4</v>
      </c>
    </row>
    <row r="200">
      <c r="A200" s="12" t="s">
        <v>20</v>
      </c>
      <c r="B200" s="11">
        <v>20.0</v>
      </c>
      <c r="C200" s="11">
        <v>40.02</v>
      </c>
      <c r="D200" s="11">
        <v>4655.0</v>
      </c>
      <c r="E200" s="11">
        <v>345.0</v>
      </c>
      <c r="F200" s="11">
        <v>20.0</v>
      </c>
      <c r="G200" s="11">
        <v>253.79</v>
      </c>
      <c r="H200" s="11">
        <v>0.46</v>
      </c>
      <c r="I200" s="11">
        <v>145.06</v>
      </c>
      <c r="J200" s="11">
        <v>11.4</v>
      </c>
    </row>
    <row r="201">
      <c r="A201" s="12" t="s">
        <v>20</v>
      </c>
      <c r="B201" s="11">
        <v>20.0</v>
      </c>
      <c r="C201" s="11">
        <v>46.690000000000005</v>
      </c>
      <c r="D201" s="11">
        <v>4221.0</v>
      </c>
      <c r="E201" s="11">
        <v>779.0</v>
      </c>
      <c r="F201" s="11">
        <v>20.0</v>
      </c>
      <c r="G201" s="11">
        <v>233.04</v>
      </c>
      <c r="H201" s="11">
        <v>0.56</v>
      </c>
      <c r="I201" s="11">
        <v>149.16</v>
      </c>
      <c r="J201" s="11">
        <v>11.6</v>
      </c>
    </row>
    <row r="202">
      <c r="A202" s="12" t="s">
        <v>20</v>
      </c>
      <c r="B202" s="11">
        <v>20.0</v>
      </c>
      <c r="C202" s="11">
        <v>53.36</v>
      </c>
      <c r="D202" s="11">
        <v>4510.0</v>
      </c>
      <c r="E202" s="11">
        <v>490.0</v>
      </c>
      <c r="F202" s="11">
        <v>20.0</v>
      </c>
      <c r="G202" s="11">
        <v>233.25</v>
      </c>
      <c r="H202" s="11">
        <v>0.57</v>
      </c>
      <c r="I202" s="11">
        <v>159.2</v>
      </c>
      <c r="J202" s="11">
        <v>11.6</v>
      </c>
    </row>
    <row r="203">
      <c r="A203" s="12" t="s">
        <v>20</v>
      </c>
      <c r="B203" s="11">
        <v>20.0</v>
      </c>
      <c r="C203" s="11">
        <v>60.03</v>
      </c>
      <c r="D203" s="11">
        <v>4286.0</v>
      </c>
      <c r="E203" s="11">
        <v>714.0</v>
      </c>
      <c r="F203" s="11">
        <v>20.0</v>
      </c>
      <c r="G203" s="11">
        <v>236.86</v>
      </c>
      <c r="H203" s="11">
        <v>0.47</v>
      </c>
      <c r="I203" s="11">
        <v>154.07</v>
      </c>
      <c r="J203" s="11">
        <v>10.9</v>
      </c>
    </row>
    <row r="204">
      <c r="A204" s="12" t="s">
        <v>20</v>
      </c>
      <c r="B204" s="11">
        <v>20.0</v>
      </c>
      <c r="C204" s="11">
        <v>66.7</v>
      </c>
      <c r="D204" s="11">
        <v>4349.0</v>
      </c>
      <c r="E204" s="11">
        <v>651.0</v>
      </c>
      <c r="F204" s="11">
        <v>20.0</v>
      </c>
      <c r="G204" s="11">
        <v>245.77</v>
      </c>
      <c r="H204" s="11">
        <v>0.67</v>
      </c>
      <c r="I204" s="11">
        <v>155.55</v>
      </c>
      <c r="J204" s="11">
        <v>11.1</v>
      </c>
    </row>
    <row r="205">
      <c r="A205" s="12" t="s">
        <v>20</v>
      </c>
      <c r="B205" s="11">
        <v>30.0</v>
      </c>
      <c r="C205" s="11">
        <v>6.67</v>
      </c>
      <c r="D205" s="11">
        <v>3311.0</v>
      </c>
      <c r="E205" s="11">
        <v>1689.0</v>
      </c>
      <c r="F205" s="11">
        <v>29.9</v>
      </c>
      <c r="G205" s="11">
        <v>231.76</v>
      </c>
      <c r="H205" s="11">
        <v>0.31</v>
      </c>
      <c r="I205" s="11">
        <v>153.51</v>
      </c>
      <c r="J205" s="11">
        <v>16.0</v>
      </c>
    </row>
    <row r="206">
      <c r="A206" s="12" t="s">
        <v>20</v>
      </c>
      <c r="B206" s="11">
        <v>30.0</v>
      </c>
      <c r="C206" s="13">
        <v>13.2</v>
      </c>
      <c r="D206" s="11">
        <v>3710.0</v>
      </c>
      <c r="E206" s="11">
        <v>1290.0</v>
      </c>
      <c r="F206" s="11">
        <v>29.9</v>
      </c>
      <c r="G206" s="11">
        <v>276.91</v>
      </c>
      <c r="H206" s="11">
        <v>0.46</v>
      </c>
      <c r="I206" s="11">
        <v>167.96</v>
      </c>
      <c r="J206" s="11">
        <v>12.2</v>
      </c>
    </row>
    <row r="207">
      <c r="A207" s="12" t="s">
        <v>20</v>
      </c>
      <c r="B207" s="11">
        <v>30.0</v>
      </c>
      <c r="C207" s="11">
        <v>20.01</v>
      </c>
      <c r="D207" s="11">
        <v>3831.0</v>
      </c>
      <c r="E207" s="11">
        <v>1169.0</v>
      </c>
      <c r="F207" s="11">
        <v>30.0</v>
      </c>
      <c r="G207" s="11">
        <v>285.16</v>
      </c>
      <c r="H207" s="11">
        <v>0.41</v>
      </c>
      <c r="I207" s="11">
        <v>168.78</v>
      </c>
      <c r="J207" s="11">
        <v>14.3</v>
      </c>
    </row>
    <row r="208">
      <c r="A208" s="12" t="s">
        <v>20</v>
      </c>
      <c r="B208" s="11">
        <v>30.0</v>
      </c>
      <c r="C208" s="11">
        <v>26.68</v>
      </c>
      <c r="D208" s="11">
        <v>3731.0</v>
      </c>
      <c r="E208" s="11">
        <v>1269.0</v>
      </c>
      <c r="F208" s="11">
        <v>29.9</v>
      </c>
      <c r="G208" s="11">
        <v>231.89</v>
      </c>
      <c r="H208" s="11">
        <v>0.46</v>
      </c>
      <c r="I208" s="11">
        <v>165.34</v>
      </c>
      <c r="J208" s="11">
        <v>13.9</v>
      </c>
    </row>
    <row r="209">
      <c r="A209" s="12" t="s">
        <v>20</v>
      </c>
      <c r="B209" s="11">
        <v>30.0</v>
      </c>
      <c r="C209" s="13">
        <v>33.0</v>
      </c>
      <c r="D209" s="11">
        <v>3694.0</v>
      </c>
      <c r="E209" s="11">
        <v>1306.0</v>
      </c>
      <c r="F209" s="11">
        <v>29.9</v>
      </c>
      <c r="G209" s="11">
        <v>251.45</v>
      </c>
      <c r="H209" s="11">
        <v>0.41</v>
      </c>
      <c r="I209" s="11">
        <v>168.56</v>
      </c>
      <c r="J209" s="11">
        <v>13.8</v>
      </c>
    </row>
    <row r="210">
      <c r="A210" s="12" t="s">
        <v>20</v>
      </c>
      <c r="B210" s="11">
        <v>30.0</v>
      </c>
      <c r="C210" s="11">
        <v>40.02</v>
      </c>
      <c r="D210" s="11">
        <v>3397.0</v>
      </c>
      <c r="E210" s="11">
        <v>1603.0</v>
      </c>
      <c r="F210" s="11">
        <v>29.9</v>
      </c>
      <c r="G210" s="11">
        <v>222.94</v>
      </c>
      <c r="H210" s="11">
        <v>0.54</v>
      </c>
      <c r="I210" s="11">
        <v>155.83</v>
      </c>
      <c r="J210" s="11">
        <v>14.2</v>
      </c>
    </row>
    <row r="211">
      <c r="A211" s="12" t="s">
        <v>20</v>
      </c>
      <c r="B211" s="11">
        <v>30.0</v>
      </c>
      <c r="C211" s="11">
        <v>46.690000000000005</v>
      </c>
      <c r="D211" s="11">
        <v>3582.0</v>
      </c>
      <c r="E211" s="11">
        <v>1418.0</v>
      </c>
      <c r="F211" s="11">
        <v>29.9</v>
      </c>
      <c r="G211" s="11">
        <v>260.11</v>
      </c>
      <c r="H211" s="11">
        <v>0.54</v>
      </c>
      <c r="I211" s="11">
        <v>163.08</v>
      </c>
      <c r="J211" s="11">
        <v>14.9</v>
      </c>
    </row>
    <row r="212">
      <c r="A212" s="12" t="s">
        <v>20</v>
      </c>
      <c r="B212" s="11">
        <v>30.0</v>
      </c>
      <c r="C212" s="11">
        <v>53.36</v>
      </c>
      <c r="D212" s="11">
        <v>3407.0</v>
      </c>
      <c r="E212" s="11">
        <v>1593.0</v>
      </c>
      <c r="F212" s="11">
        <v>29.9</v>
      </c>
      <c r="G212" s="11">
        <v>254.51</v>
      </c>
      <c r="H212" s="11">
        <v>0.56</v>
      </c>
      <c r="I212" s="11">
        <v>167.13</v>
      </c>
      <c r="J212" s="11">
        <v>14.1</v>
      </c>
    </row>
    <row r="213">
      <c r="A213" s="12" t="s">
        <v>20</v>
      </c>
      <c r="B213" s="11">
        <v>30.0</v>
      </c>
      <c r="C213" s="11">
        <v>60.03</v>
      </c>
      <c r="D213" s="11">
        <v>3713.0</v>
      </c>
      <c r="E213" s="11">
        <v>1287.0</v>
      </c>
      <c r="F213" s="11">
        <v>29.9</v>
      </c>
      <c r="G213" s="11">
        <v>245.23</v>
      </c>
      <c r="H213" s="11">
        <v>0.57</v>
      </c>
      <c r="I213" s="11">
        <v>156.28</v>
      </c>
      <c r="J213" s="11">
        <v>13.6</v>
      </c>
    </row>
    <row r="214">
      <c r="A214" s="12" t="s">
        <v>20</v>
      </c>
      <c r="B214" s="11">
        <v>30.0</v>
      </c>
      <c r="C214" s="11">
        <v>66.7</v>
      </c>
      <c r="D214" s="11">
        <v>3610.0</v>
      </c>
      <c r="E214" s="11">
        <v>1390.0</v>
      </c>
      <c r="F214" s="11">
        <v>30.0</v>
      </c>
      <c r="G214" s="11">
        <v>275.95</v>
      </c>
      <c r="H214" s="11">
        <v>0.59</v>
      </c>
      <c r="I214" s="11">
        <v>191.32</v>
      </c>
      <c r="J214" s="11">
        <v>13.4</v>
      </c>
    </row>
    <row r="215">
      <c r="A215" s="12" t="s">
        <v>20</v>
      </c>
      <c r="B215" s="11">
        <v>40.0</v>
      </c>
      <c r="C215" s="11">
        <v>6.67</v>
      </c>
      <c r="D215" s="11">
        <v>3363.0</v>
      </c>
      <c r="E215" s="11">
        <v>1637.0</v>
      </c>
      <c r="F215" s="11">
        <v>39.9</v>
      </c>
      <c r="G215" s="11">
        <v>230.37</v>
      </c>
      <c r="H215" s="11">
        <v>0.36</v>
      </c>
      <c r="I215" s="11">
        <v>172.3</v>
      </c>
      <c r="J215" s="11">
        <v>16.1</v>
      </c>
    </row>
    <row r="216">
      <c r="A216" s="12" t="s">
        <v>20</v>
      </c>
      <c r="B216" s="11">
        <v>40.0</v>
      </c>
      <c r="C216" s="13">
        <v>13.2</v>
      </c>
      <c r="D216" s="11">
        <v>3475.0</v>
      </c>
      <c r="E216" s="11">
        <v>1525.0</v>
      </c>
      <c r="F216" s="11">
        <v>39.9</v>
      </c>
      <c r="G216" s="11">
        <v>275.24</v>
      </c>
      <c r="H216" s="11">
        <v>0.41</v>
      </c>
      <c r="I216" s="11">
        <v>170.05</v>
      </c>
      <c r="J216" s="11">
        <v>14.1</v>
      </c>
    </row>
    <row r="217">
      <c r="A217" s="12" t="s">
        <v>20</v>
      </c>
      <c r="B217" s="11">
        <v>40.0</v>
      </c>
      <c r="C217" s="11">
        <v>20.01</v>
      </c>
      <c r="D217" s="11">
        <v>3146.0</v>
      </c>
      <c r="E217" s="11">
        <v>1854.0</v>
      </c>
      <c r="F217" s="11">
        <v>39.9</v>
      </c>
      <c r="G217" s="11">
        <v>260.01</v>
      </c>
      <c r="H217" s="11">
        <v>0.43</v>
      </c>
      <c r="I217" s="11">
        <v>176.38</v>
      </c>
      <c r="J217" s="11">
        <v>15.8</v>
      </c>
    </row>
    <row r="218">
      <c r="A218" s="12" t="s">
        <v>20</v>
      </c>
      <c r="B218" s="11">
        <v>40.0</v>
      </c>
      <c r="C218" s="11">
        <v>26.68</v>
      </c>
      <c r="D218" s="11">
        <v>3189.0</v>
      </c>
      <c r="E218" s="11">
        <v>1811.0</v>
      </c>
      <c r="F218" s="11">
        <v>39.9</v>
      </c>
      <c r="G218" s="11">
        <v>244.16</v>
      </c>
      <c r="H218" s="11">
        <v>0.47</v>
      </c>
      <c r="I218" s="11">
        <v>160.34</v>
      </c>
      <c r="J218" s="11">
        <v>16.3</v>
      </c>
    </row>
    <row r="219">
      <c r="A219" s="12" t="s">
        <v>20</v>
      </c>
      <c r="B219" s="11">
        <v>40.0</v>
      </c>
      <c r="C219" s="13">
        <v>33.0</v>
      </c>
      <c r="D219" s="11">
        <v>3014.0</v>
      </c>
      <c r="E219" s="11">
        <v>1986.0</v>
      </c>
      <c r="F219" s="11">
        <v>39.8</v>
      </c>
      <c r="G219" s="11">
        <v>247.37</v>
      </c>
      <c r="H219" s="11">
        <v>0.45</v>
      </c>
      <c r="I219" s="11">
        <v>164.17</v>
      </c>
      <c r="J219" s="11">
        <v>16.5</v>
      </c>
    </row>
    <row r="220">
      <c r="A220" s="12" t="s">
        <v>20</v>
      </c>
      <c r="B220" s="11">
        <v>40.0</v>
      </c>
      <c r="C220" s="11">
        <v>40.02</v>
      </c>
      <c r="D220" s="11">
        <v>3248.0</v>
      </c>
      <c r="E220" s="11">
        <v>1752.0</v>
      </c>
      <c r="F220" s="11">
        <v>39.8</v>
      </c>
      <c r="G220" s="11">
        <v>249.65</v>
      </c>
      <c r="H220" s="11">
        <v>0.4</v>
      </c>
      <c r="I220" s="11">
        <v>190.42</v>
      </c>
      <c r="J220" s="11">
        <v>16.2</v>
      </c>
    </row>
    <row r="221">
      <c r="A221" s="12" t="s">
        <v>20</v>
      </c>
      <c r="B221" s="11">
        <v>40.0</v>
      </c>
      <c r="C221" s="11">
        <v>46.690000000000005</v>
      </c>
      <c r="D221" s="11">
        <v>3247.0</v>
      </c>
      <c r="E221" s="11">
        <v>1753.0</v>
      </c>
      <c r="F221" s="11">
        <v>39.8</v>
      </c>
      <c r="G221" s="11">
        <v>234.49</v>
      </c>
      <c r="H221" s="11">
        <v>0.58</v>
      </c>
      <c r="I221" s="11">
        <v>165.31</v>
      </c>
      <c r="J221" s="11">
        <v>14.9</v>
      </c>
    </row>
    <row r="222">
      <c r="A222" s="12" t="s">
        <v>20</v>
      </c>
      <c r="B222" s="11">
        <v>40.0</v>
      </c>
      <c r="C222" s="11">
        <v>53.36</v>
      </c>
      <c r="D222" s="11">
        <v>3360.0</v>
      </c>
      <c r="E222" s="11">
        <v>1640.0</v>
      </c>
      <c r="F222" s="11">
        <v>39.9</v>
      </c>
      <c r="G222" s="11">
        <v>258.31</v>
      </c>
      <c r="H222" s="11">
        <v>0.57</v>
      </c>
      <c r="I222" s="11">
        <v>188.33</v>
      </c>
      <c r="J222" s="11">
        <v>15.5</v>
      </c>
    </row>
    <row r="223">
      <c r="A223" s="12" t="s">
        <v>20</v>
      </c>
      <c r="B223" s="11">
        <v>40.0</v>
      </c>
      <c r="C223" s="11">
        <v>60.03</v>
      </c>
      <c r="D223" s="11">
        <v>3336.0</v>
      </c>
      <c r="E223" s="11">
        <v>1664.0</v>
      </c>
      <c r="F223" s="11">
        <v>39.9</v>
      </c>
      <c r="G223" s="11">
        <v>285.14</v>
      </c>
      <c r="H223" s="11">
        <v>0.56</v>
      </c>
      <c r="I223" s="11">
        <v>204.48</v>
      </c>
      <c r="J223" s="11">
        <v>13.9</v>
      </c>
    </row>
    <row r="224">
      <c r="A224" s="12" t="s">
        <v>20</v>
      </c>
      <c r="B224" s="11">
        <v>40.0</v>
      </c>
      <c r="C224" s="11">
        <v>66.7</v>
      </c>
      <c r="D224" s="11">
        <v>3053.0</v>
      </c>
      <c r="E224" s="11">
        <v>1947.0</v>
      </c>
      <c r="F224" s="11">
        <v>39.9</v>
      </c>
      <c r="G224" s="11">
        <v>272.99</v>
      </c>
      <c r="H224" s="11">
        <v>0.63</v>
      </c>
      <c r="I224" s="11">
        <v>181.45</v>
      </c>
      <c r="J224" s="11">
        <v>12.9</v>
      </c>
    </row>
    <row r="225">
      <c r="A225" s="12" t="s">
        <v>20</v>
      </c>
      <c r="B225" s="11">
        <v>50.0</v>
      </c>
      <c r="C225" s="11">
        <v>6.67</v>
      </c>
      <c r="D225" s="11">
        <v>2843.0</v>
      </c>
      <c r="E225" s="11">
        <v>2157.0</v>
      </c>
      <c r="F225" s="11">
        <v>49.8</v>
      </c>
      <c r="G225" s="11">
        <v>233.46</v>
      </c>
      <c r="H225" s="11">
        <v>0.37</v>
      </c>
      <c r="I225" s="11">
        <v>161.99</v>
      </c>
      <c r="J225" s="11">
        <v>18.3</v>
      </c>
    </row>
    <row r="226">
      <c r="A226" s="12" t="s">
        <v>20</v>
      </c>
      <c r="B226" s="11">
        <v>50.0</v>
      </c>
      <c r="C226" s="13">
        <v>13.2</v>
      </c>
      <c r="D226" s="11">
        <v>3047.0</v>
      </c>
      <c r="E226" s="11">
        <v>1953.0</v>
      </c>
      <c r="F226" s="11">
        <v>49.7</v>
      </c>
      <c r="G226" s="11">
        <v>234.41</v>
      </c>
      <c r="H226" s="11">
        <v>0.37</v>
      </c>
      <c r="I226" s="11">
        <v>178.52</v>
      </c>
      <c r="J226" s="11">
        <v>14.0</v>
      </c>
    </row>
    <row r="227">
      <c r="A227" s="12" t="s">
        <v>20</v>
      </c>
      <c r="B227" s="11">
        <v>50.0</v>
      </c>
      <c r="C227" s="11">
        <v>20.01</v>
      </c>
      <c r="D227" s="11">
        <v>2925.0</v>
      </c>
      <c r="E227" s="11">
        <v>2075.0</v>
      </c>
      <c r="F227" s="11">
        <v>49.8</v>
      </c>
      <c r="G227" s="11">
        <v>234.81</v>
      </c>
      <c r="H227" s="11">
        <v>0.42</v>
      </c>
      <c r="I227" s="11">
        <v>181.13</v>
      </c>
      <c r="J227" s="11">
        <v>17.2</v>
      </c>
    </row>
    <row r="228">
      <c r="A228" s="12" t="s">
        <v>20</v>
      </c>
      <c r="B228" s="11">
        <v>50.0</v>
      </c>
      <c r="C228" s="11">
        <v>26.68</v>
      </c>
      <c r="D228" s="11">
        <v>2896.0</v>
      </c>
      <c r="E228" s="11">
        <v>2104.0</v>
      </c>
      <c r="F228" s="11">
        <v>49.6</v>
      </c>
      <c r="G228" s="11">
        <v>261.9</v>
      </c>
      <c r="H228" s="11">
        <v>0.42</v>
      </c>
      <c r="I228" s="11">
        <v>177.5</v>
      </c>
      <c r="J228" s="11">
        <v>17.3</v>
      </c>
    </row>
    <row r="229">
      <c r="A229" s="12" t="s">
        <v>20</v>
      </c>
      <c r="B229" s="11">
        <v>50.0</v>
      </c>
      <c r="C229" s="8">
        <v>33.0</v>
      </c>
      <c r="D229" s="11">
        <v>3051.0</v>
      </c>
      <c r="E229" s="11">
        <v>1949.0</v>
      </c>
      <c r="F229" s="11">
        <v>49.8</v>
      </c>
      <c r="G229" s="11">
        <v>248.41</v>
      </c>
      <c r="H229" s="11">
        <v>0.47</v>
      </c>
      <c r="I229" s="11">
        <v>183.27</v>
      </c>
      <c r="J229" s="11">
        <v>16.0</v>
      </c>
    </row>
    <row r="230">
      <c r="A230" s="12" t="s">
        <v>20</v>
      </c>
      <c r="B230" s="11">
        <v>50.0</v>
      </c>
      <c r="C230" s="13">
        <v>33.0</v>
      </c>
      <c r="D230" s="11">
        <v>3034.0</v>
      </c>
      <c r="E230" s="11">
        <v>1966.0</v>
      </c>
      <c r="F230" s="11">
        <v>49.8</v>
      </c>
      <c r="G230" s="11">
        <v>243.58</v>
      </c>
      <c r="H230" s="11">
        <v>0.5</v>
      </c>
      <c r="I230" s="11">
        <v>185.03</v>
      </c>
      <c r="J230" s="11">
        <v>16.6</v>
      </c>
    </row>
    <row r="231">
      <c r="A231" s="12" t="s">
        <v>20</v>
      </c>
      <c r="B231" s="11">
        <v>50.0</v>
      </c>
      <c r="C231" s="11">
        <v>40.02</v>
      </c>
      <c r="D231" s="11">
        <v>3137.0</v>
      </c>
      <c r="E231" s="11">
        <v>1863.0</v>
      </c>
      <c r="F231" s="11">
        <v>49.8</v>
      </c>
      <c r="G231" s="11">
        <v>267.79</v>
      </c>
      <c r="H231" s="11">
        <v>0.57</v>
      </c>
      <c r="I231" s="11">
        <v>196.42</v>
      </c>
      <c r="J231" s="11">
        <v>16.4</v>
      </c>
    </row>
    <row r="232">
      <c r="A232" s="12" t="s">
        <v>20</v>
      </c>
      <c r="B232" s="11">
        <v>50.0</v>
      </c>
      <c r="C232" s="11">
        <v>46.690000000000005</v>
      </c>
      <c r="D232" s="11">
        <v>3228.0</v>
      </c>
      <c r="E232" s="11">
        <v>1772.0</v>
      </c>
      <c r="F232" s="11">
        <v>49.9</v>
      </c>
      <c r="G232" s="11">
        <v>270.89</v>
      </c>
      <c r="H232" s="11">
        <v>0.5</v>
      </c>
      <c r="I232" s="11">
        <v>203.93</v>
      </c>
      <c r="J232" s="11">
        <v>15.5</v>
      </c>
    </row>
    <row r="233">
      <c r="A233" s="12" t="s">
        <v>20</v>
      </c>
      <c r="B233" s="11">
        <v>50.0</v>
      </c>
      <c r="C233" s="11">
        <v>53.36</v>
      </c>
      <c r="D233" s="11">
        <v>3067.0</v>
      </c>
      <c r="E233" s="11">
        <v>1933.0</v>
      </c>
      <c r="F233" s="11">
        <v>49.8</v>
      </c>
      <c r="G233" s="11">
        <v>284.95</v>
      </c>
      <c r="H233" s="11">
        <v>0.57</v>
      </c>
      <c r="I233" s="11">
        <v>207.43</v>
      </c>
      <c r="J233" s="11">
        <v>14.3</v>
      </c>
    </row>
    <row r="234">
      <c r="A234" s="12" t="s">
        <v>20</v>
      </c>
      <c r="B234" s="11">
        <v>50.0</v>
      </c>
      <c r="C234" s="11">
        <v>60.03</v>
      </c>
      <c r="D234" s="11">
        <v>3104.0</v>
      </c>
      <c r="E234" s="11">
        <v>1896.0</v>
      </c>
      <c r="F234" s="11">
        <v>49.8</v>
      </c>
      <c r="G234" s="11">
        <v>290.59</v>
      </c>
      <c r="H234" s="11">
        <v>0.56</v>
      </c>
      <c r="I234" s="11">
        <v>204.69</v>
      </c>
      <c r="J234" s="11">
        <v>14.0</v>
      </c>
    </row>
    <row r="235">
      <c r="A235" s="12" t="s">
        <v>20</v>
      </c>
      <c r="B235" s="11">
        <v>50.0</v>
      </c>
      <c r="C235" s="11">
        <v>66.7</v>
      </c>
      <c r="D235" s="11">
        <v>3296.0</v>
      </c>
      <c r="E235" s="11">
        <v>1704.0</v>
      </c>
      <c r="F235" s="11">
        <v>49.8</v>
      </c>
      <c r="G235" s="11">
        <v>234.72</v>
      </c>
      <c r="H235" s="11">
        <v>0.62</v>
      </c>
      <c r="I235" s="11">
        <v>126.25</v>
      </c>
      <c r="J235" s="11">
        <v>17.7</v>
      </c>
    </row>
    <row r="236">
      <c r="A236" s="12" t="s">
        <v>20</v>
      </c>
      <c r="B236" s="11">
        <v>50.0</v>
      </c>
      <c r="C236" s="11">
        <v>66.7</v>
      </c>
      <c r="D236" s="11">
        <v>2971.0</v>
      </c>
      <c r="E236" s="11">
        <v>2029.0</v>
      </c>
      <c r="F236" s="11">
        <v>49.9</v>
      </c>
      <c r="G236" s="11">
        <v>286.51</v>
      </c>
      <c r="H236" s="11">
        <v>0.65</v>
      </c>
      <c r="I236" s="11">
        <v>193.51</v>
      </c>
      <c r="J236" s="11">
        <v>13.9</v>
      </c>
    </row>
    <row r="237">
      <c r="A237" s="12" t="s">
        <v>20</v>
      </c>
      <c r="B237" s="11">
        <v>50.0</v>
      </c>
      <c r="C237" s="8">
        <v>330.0</v>
      </c>
      <c r="D237" s="11">
        <v>0.0</v>
      </c>
      <c r="E237" s="11">
        <v>5000.0</v>
      </c>
      <c r="F237" s="11">
        <v>49.8</v>
      </c>
      <c r="G237" s="12" t="s">
        <v>21</v>
      </c>
      <c r="H237" s="12" t="s">
        <v>21</v>
      </c>
      <c r="I237" s="12" t="s">
        <v>21</v>
      </c>
      <c r="J237" s="11">
        <v>14.4</v>
      </c>
    </row>
    <row r="238">
      <c r="A238" s="12" t="s">
        <v>20</v>
      </c>
      <c r="B238" s="11">
        <v>50.0</v>
      </c>
      <c r="C238" s="8">
        <v>660.0</v>
      </c>
      <c r="D238" s="11">
        <v>0.0</v>
      </c>
      <c r="E238" s="11">
        <v>5000.0</v>
      </c>
      <c r="F238" s="11">
        <v>50.0</v>
      </c>
      <c r="G238" s="12" t="s">
        <v>21</v>
      </c>
      <c r="H238" s="12" t="s">
        <v>21</v>
      </c>
      <c r="I238" s="12" t="s">
        <v>21</v>
      </c>
      <c r="J238" s="11">
        <v>14.5</v>
      </c>
    </row>
    <row r="239">
      <c r="A239" s="12" t="s">
        <v>20</v>
      </c>
      <c r="B239" s="11">
        <v>100.0</v>
      </c>
      <c r="C239" s="11">
        <v>6.67</v>
      </c>
      <c r="D239" s="11">
        <v>2605.0</v>
      </c>
      <c r="E239" s="11">
        <v>2395.0</v>
      </c>
      <c r="F239" s="11">
        <v>99.1</v>
      </c>
      <c r="G239" s="11">
        <v>226.88</v>
      </c>
      <c r="H239" s="11">
        <v>0.42</v>
      </c>
      <c r="I239" s="11">
        <v>179.8</v>
      </c>
      <c r="J239" s="11">
        <v>20.4</v>
      </c>
    </row>
    <row r="240">
      <c r="A240" s="12" t="s">
        <v>20</v>
      </c>
      <c r="B240" s="11">
        <v>100.0</v>
      </c>
      <c r="C240" s="13">
        <v>13.2</v>
      </c>
      <c r="D240" s="11">
        <v>2681.0</v>
      </c>
      <c r="E240" s="11">
        <v>2319.0</v>
      </c>
      <c r="F240" s="11">
        <v>99.4</v>
      </c>
      <c r="G240" s="11">
        <v>236.35</v>
      </c>
      <c r="H240" s="11">
        <v>0.46</v>
      </c>
      <c r="I240" s="11">
        <v>196.8</v>
      </c>
      <c r="J240" s="11">
        <v>19.0</v>
      </c>
    </row>
    <row r="241">
      <c r="A241" s="12" t="s">
        <v>20</v>
      </c>
      <c r="B241" s="11">
        <v>100.0</v>
      </c>
      <c r="C241" s="8">
        <v>13.200000000000001</v>
      </c>
      <c r="D241" s="11">
        <v>2609.0</v>
      </c>
      <c r="E241" s="11">
        <v>2391.0</v>
      </c>
      <c r="F241" s="11">
        <v>99.2</v>
      </c>
      <c r="G241" s="11">
        <v>232.36</v>
      </c>
      <c r="H241" s="11">
        <v>0.47</v>
      </c>
      <c r="I241" s="11">
        <v>182.8</v>
      </c>
      <c r="J241" s="11">
        <v>19.3</v>
      </c>
    </row>
    <row r="242">
      <c r="A242" s="12" t="s">
        <v>20</v>
      </c>
      <c r="B242" s="11">
        <v>100.0</v>
      </c>
      <c r="C242" s="11">
        <v>66.7</v>
      </c>
      <c r="D242" s="11">
        <v>2092.0</v>
      </c>
      <c r="E242" s="11">
        <v>2908.0</v>
      </c>
      <c r="F242" s="11">
        <v>98.9</v>
      </c>
      <c r="G242" s="11">
        <v>295.75</v>
      </c>
      <c r="H242" s="11">
        <v>0.78</v>
      </c>
      <c r="I242" s="11">
        <v>201.64</v>
      </c>
      <c r="J242" s="11">
        <v>14.5</v>
      </c>
    </row>
    <row r="243">
      <c r="A243" s="12" t="s">
        <v>20</v>
      </c>
      <c r="B243" s="11">
        <v>100.0</v>
      </c>
      <c r="C243" s="8">
        <v>330.0</v>
      </c>
      <c r="D243" s="11">
        <v>0.0</v>
      </c>
      <c r="E243" s="11">
        <v>5000.0</v>
      </c>
      <c r="F243" s="11">
        <v>99.6</v>
      </c>
      <c r="G243" s="12" t="s">
        <v>21</v>
      </c>
      <c r="H243" s="12" t="s">
        <v>21</v>
      </c>
      <c r="I243" s="12" t="s">
        <v>21</v>
      </c>
      <c r="J243" s="11">
        <v>15.6</v>
      </c>
    </row>
    <row r="244">
      <c r="A244" s="12" t="s">
        <v>20</v>
      </c>
      <c r="B244" s="11">
        <v>200.0</v>
      </c>
      <c r="C244" s="11">
        <v>6.67</v>
      </c>
      <c r="D244" s="11">
        <v>2587.0</v>
      </c>
      <c r="E244" s="11">
        <v>2413.0</v>
      </c>
      <c r="F244" s="11">
        <v>197.3</v>
      </c>
      <c r="G244" s="11">
        <v>230.46</v>
      </c>
      <c r="H244" s="11">
        <v>0.57</v>
      </c>
      <c r="I244" s="11">
        <v>197.03</v>
      </c>
      <c r="J244" s="11">
        <v>20.5</v>
      </c>
    </row>
    <row r="245">
      <c r="A245" s="12" t="s">
        <v>20</v>
      </c>
      <c r="B245" s="11">
        <v>200.0</v>
      </c>
      <c r="C245" s="13">
        <v>13.2</v>
      </c>
      <c r="D245" s="11">
        <v>2579.0</v>
      </c>
      <c r="E245" s="11">
        <v>2421.0</v>
      </c>
      <c r="F245" s="11">
        <v>197.9</v>
      </c>
      <c r="G245" s="11">
        <v>246.66</v>
      </c>
      <c r="H245" s="11">
        <v>0.7</v>
      </c>
      <c r="I245" s="11">
        <v>212.76</v>
      </c>
      <c r="J245" s="11">
        <v>19.2</v>
      </c>
    </row>
    <row r="246">
      <c r="A246" s="12" t="s">
        <v>20</v>
      </c>
      <c r="B246" s="11">
        <v>200.0</v>
      </c>
      <c r="C246" s="8">
        <v>13.200000000000001</v>
      </c>
      <c r="D246" s="11">
        <v>2549.0</v>
      </c>
      <c r="E246" s="11">
        <v>2451.0</v>
      </c>
      <c r="F246" s="11">
        <v>194.9</v>
      </c>
      <c r="G246" s="11">
        <v>243.91</v>
      </c>
      <c r="H246" s="11">
        <v>0.57</v>
      </c>
      <c r="I246" s="11">
        <v>209.28</v>
      </c>
      <c r="J246" s="11">
        <v>19.4</v>
      </c>
    </row>
    <row r="247">
      <c r="A247" s="12" t="s">
        <v>20</v>
      </c>
      <c r="B247" s="11">
        <v>200.0</v>
      </c>
      <c r="C247" s="8">
        <v>33.0</v>
      </c>
      <c r="D247" s="11">
        <v>2564.0</v>
      </c>
      <c r="E247" s="11">
        <v>2436.0</v>
      </c>
      <c r="F247" s="11">
        <v>196.5</v>
      </c>
      <c r="G247" s="11">
        <v>277.5</v>
      </c>
      <c r="H247" s="11">
        <v>0.71</v>
      </c>
      <c r="I247" s="11">
        <v>217.94</v>
      </c>
      <c r="J247" s="11">
        <v>17.2</v>
      </c>
    </row>
    <row r="248">
      <c r="A248" s="12" t="s">
        <v>20</v>
      </c>
      <c r="B248" s="11">
        <v>200.0</v>
      </c>
      <c r="C248" s="11">
        <v>66.7</v>
      </c>
      <c r="D248" s="11">
        <v>1971.0</v>
      </c>
      <c r="E248" s="11">
        <v>3029.0</v>
      </c>
      <c r="F248" s="11">
        <v>198.6</v>
      </c>
      <c r="G248" s="11">
        <v>293.63</v>
      </c>
      <c r="H248" s="11">
        <v>0.96</v>
      </c>
      <c r="I248" s="11">
        <v>217.58</v>
      </c>
      <c r="J248" s="11">
        <v>15.7</v>
      </c>
    </row>
    <row r="249">
      <c r="A249" s="12" t="s">
        <v>20</v>
      </c>
      <c r="B249" s="11">
        <v>200.0</v>
      </c>
      <c r="C249" s="8">
        <v>330.0</v>
      </c>
      <c r="D249" s="11">
        <v>0.0</v>
      </c>
      <c r="E249" s="11">
        <v>5000.0</v>
      </c>
      <c r="F249" s="11">
        <v>196.9</v>
      </c>
      <c r="G249" s="12" t="s">
        <v>21</v>
      </c>
      <c r="H249" s="12" t="s">
        <v>21</v>
      </c>
      <c r="I249" s="12" t="s">
        <v>21</v>
      </c>
      <c r="J249" s="11">
        <v>16.2</v>
      </c>
    </row>
    <row r="250">
      <c r="A250" s="12" t="s">
        <v>20</v>
      </c>
      <c r="B250" s="11">
        <v>300.0</v>
      </c>
      <c r="C250" s="11">
        <v>6.67</v>
      </c>
      <c r="D250" s="11">
        <v>2517.0</v>
      </c>
      <c r="E250" s="11">
        <v>2483.0</v>
      </c>
      <c r="F250" s="11">
        <v>295.7</v>
      </c>
      <c r="G250" s="11">
        <v>241.15</v>
      </c>
      <c r="H250" s="11">
        <v>0.93</v>
      </c>
      <c r="I250" s="11">
        <v>210.79</v>
      </c>
      <c r="J250" s="11">
        <v>20.6</v>
      </c>
    </row>
    <row r="251">
      <c r="A251" s="12" t="s">
        <v>20</v>
      </c>
      <c r="B251" s="11">
        <v>300.0</v>
      </c>
      <c r="C251" s="8">
        <v>13.200000000000001</v>
      </c>
      <c r="D251" s="11">
        <v>2547.0</v>
      </c>
      <c r="E251" s="11">
        <v>2453.0</v>
      </c>
      <c r="F251" s="11">
        <v>290.3</v>
      </c>
      <c r="G251" s="11">
        <v>248.11</v>
      </c>
      <c r="H251" s="11">
        <v>0.68</v>
      </c>
      <c r="I251" s="11">
        <v>223.52</v>
      </c>
      <c r="J251" s="11">
        <v>19.4</v>
      </c>
    </row>
    <row r="252">
      <c r="A252" s="12" t="s">
        <v>20</v>
      </c>
      <c r="B252" s="11">
        <v>300.0</v>
      </c>
      <c r="C252" s="8">
        <v>33.0</v>
      </c>
      <c r="D252" s="11">
        <v>2545.0</v>
      </c>
      <c r="E252" s="11">
        <v>2455.0</v>
      </c>
      <c r="F252" s="11">
        <v>291.1</v>
      </c>
      <c r="G252" s="11">
        <v>285.07</v>
      </c>
      <c r="H252" s="11">
        <v>0.82</v>
      </c>
      <c r="I252" s="11">
        <v>234.93</v>
      </c>
      <c r="J252" s="11">
        <v>17.0</v>
      </c>
    </row>
    <row r="253">
      <c r="A253" s="12" t="s">
        <v>20</v>
      </c>
      <c r="B253" s="11">
        <v>300.0</v>
      </c>
      <c r="C253" s="11">
        <v>66.7</v>
      </c>
      <c r="D253" s="11">
        <v>1488.0</v>
      </c>
      <c r="E253" s="11">
        <v>3512.0</v>
      </c>
      <c r="F253" s="11">
        <v>290.3</v>
      </c>
      <c r="G253" s="11">
        <v>296.06</v>
      </c>
      <c r="H253" s="11">
        <v>0.93</v>
      </c>
      <c r="I253" s="11">
        <v>224.13</v>
      </c>
      <c r="J253" s="11">
        <v>15.9</v>
      </c>
    </row>
    <row r="254">
      <c r="A254" s="12" t="s">
        <v>20</v>
      </c>
      <c r="B254" s="11">
        <v>300.0</v>
      </c>
      <c r="C254" s="8">
        <v>330.0</v>
      </c>
      <c r="D254" s="11">
        <v>0.0</v>
      </c>
      <c r="E254" s="11">
        <v>5000.0</v>
      </c>
      <c r="F254" s="11">
        <v>292.1</v>
      </c>
      <c r="G254" s="12" t="s">
        <v>21</v>
      </c>
      <c r="H254" s="12" t="s">
        <v>21</v>
      </c>
      <c r="I254" s="12" t="s">
        <v>21</v>
      </c>
      <c r="J254" s="11">
        <v>16.6</v>
      </c>
    </row>
    <row r="255">
      <c r="A255" s="12" t="s">
        <v>20</v>
      </c>
      <c r="B255" s="11">
        <v>400.0</v>
      </c>
      <c r="C255" s="11">
        <v>6.67</v>
      </c>
      <c r="D255" s="11">
        <v>2511.0</v>
      </c>
      <c r="E255" s="11">
        <v>2489.0</v>
      </c>
      <c r="F255" s="11">
        <v>383.2</v>
      </c>
      <c r="G255" s="11">
        <v>239.52</v>
      </c>
      <c r="H255" s="11">
        <v>0.74</v>
      </c>
      <c r="I255" s="11">
        <v>218.92</v>
      </c>
      <c r="J255" s="11">
        <v>20.3</v>
      </c>
    </row>
    <row r="256">
      <c r="A256" s="12" t="s">
        <v>20</v>
      </c>
      <c r="B256" s="11">
        <v>400.0</v>
      </c>
      <c r="C256" s="8">
        <v>13.200000000000001</v>
      </c>
      <c r="D256" s="11">
        <v>2510.0</v>
      </c>
      <c r="E256" s="11">
        <v>2490.0</v>
      </c>
      <c r="F256" s="11">
        <v>390.6</v>
      </c>
      <c r="G256" s="11">
        <v>255.8</v>
      </c>
      <c r="H256" s="11">
        <v>0.78</v>
      </c>
      <c r="I256" s="11">
        <v>220.78</v>
      </c>
      <c r="J256" s="11">
        <v>19.5</v>
      </c>
    </row>
    <row r="257">
      <c r="A257" s="12" t="s">
        <v>20</v>
      </c>
      <c r="B257" s="11">
        <v>400.0</v>
      </c>
      <c r="C257" s="8">
        <v>33.0</v>
      </c>
      <c r="D257" s="11">
        <v>2511.0</v>
      </c>
      <c r="E257" s="11">
        <v>2489.0</v>
      </c>
      <c r="F257" s="11">
        <v>392.2</v>
      </c>
      <c r="G257" s="11">
        <v>292.84</v>
      </c>
      <c r="H257" s="11">
        <v>0.92</v>
      </c>
      <c r="I257" s="11">
        <v>238.94</v>
      </c>
      <c r="J257" s="11">
        <v>16.7</v>
      </c>
    </row>
    <row r="258">
      <c r="A258" s="12" t="s">
        <v>20</v>
      </c>
      <c r="B258" s="11">
        <v>400.0</v>
      </c>
      <c r="C258" s="11">
        <v>66.7</v>
      </c>
      <c r="D258" s="11">
        <v>1987.0</v>
      </c>
      <c r="E258" s="11">
        <v>3013.0</v>
      </c>
      <c r="F258" s="11">
        <v>389.0</v>
      </c>
      <c r="G258" s="11">
        <v>293.2</v>
      </c>
      <c r="H258" s="11">
        <v>80.72</v>
      </c>
      <c r="I258" s="11">
        <v>193.56</v>
      </c>
      <c r="J258" s="11">
        <v>16.7</v>
      </c>
    </row>
    <row r="259">
      <c r="A259" s="12" t="s">
        <v>20</v>
      </c>
      <c r="B259" s="11">
        <v>400.0</v>
      </c>
      <c r="C259" s="8">
        <v>330.0</v>
      </c>
      <c r="D259" s="11">
        <v>0.0</v>
      </c>
      <c r="E259" s="11">
        <v>5000.0</v>
      </c>
      <c r="F259" s="11">
        <v>381.5</v>
      </c>
      <c r="G259" s="12" t="s">
        <v>21</v>
      </c>
      <c r="H259" s="12" t="s">
        <v>21</v>
      </c>
      <c r="I259" s="12" t="s">
        <v>21</v>
      </c>
      <c r="J259" s="11">
        <v>16.6</v>
      </c>
    </row>
    <row r="260">
      <c r="A260" s="12" t="s">
        <v>20</v>
      </c>
      <c r="B260" s="11">
        <v>500.0</v>
      </c>
      <c r="C260" s="11">
        <v>6.67</v>
      </c>
      <c r="D260" s="11">
        <v>2511.0</v>
      </c>
      <c r="E260" s="11">
        <v>2489.0</v>
      </c>
      <c r="F260" s="11">
        <v>477.1</v>
      </c>
      <c r="G260" s="11">
        <v>242.15</v>
      </c>
      <c r="H260" s="11">
        <v>0.87</v>
      </c>
      <c r="I260" s="11">
        <v>218.23</v>
      </c>
      <c r="J260" s="11">
        <v>20.2</v>
      </c>
    </row>
    <row r="261">
      <c r="A261" s="12" t="s">
        <v>20</v>
      </c>
      <c r="B261" s="11">
        <v>500.0</v>
      </c>
      <c r="C261" s="8">
        <v>13.200000000000001</v>
      </c>
      <c r="D261" s="11">
        <v>2508.0</v>
      </c>
      <c r="E261" s="11">
        <v>2492.0</v>
      </c>
      <c r="F261" s="11">
        <v>488.4</v>
      </c>
      <c r="G261" s="11">
        <v>250.71</v>
      </c>
      <c r="H261" s="11">
        <v>0.89</v>
      </c>
      <c r="I261" s="11">
        <v>216.5</v>
      </c>
      <c r="J261" s="11">
        <v>19.5</v>
      </c>
    </row>
    <row r="262">
      <c r="A262" s="12" t="s">
        <v>20</v>
      </c>
      <c r="B262" s="11">
        <v>500.0</v>
      </c>
      <c r="C262" s="8">
        <v>33.0</v>
      </c>
      <c r="D262" s="11">
        <v>2511.0</v>
      </c>
      <c r="E262" s="11">
        <v>2489.0</v>
      </c>
      <c r="F262" s="11">
        <v>478.2</v>
      </c>
      <c r="G262" s="11">
        <v>294.53</v>
      </c>
      <c r="H262" s="11">
        <v>0.99</v>
      </c>
      <c r="I262" s="11">
        <v>240.09</v>
      </c>
      <c r="J262" s="11">
        <v>16.7</v>
      </c>
    </row>
    <row r="263">
      <c r="A263" s="12" t="s">
        <v>20</v>
      </c>
      <c r="B263" s="11">
        <v>500.0</v>
      </c>
      <c r="C263" s="11">
        <v>66.7</v>
      </c>
      <c r="D263" s="11">
        <v>1385.0</v>
      </c>
      <c r="E263" s="11">
        <v>3613.0</v>
      </c>
      <c r="F263" s="11">
        <v>483.5</v>
      </c>
      <c r="G263" s="11">
        <v>293.78</v>
      </c>
      <c r="H263" s="11">
        <v>1.05</v>
      </c>
      <c r="I263" s="11">
        <v>223.76</v>
      </c>
      <c r="J263" s="11">
        <v>16.5</v>
      </c>
    </row>
    <row r="264">
      <c r="A264" s="12" t="s">
        <v>20</v>
      </c>
      <c r="B264" s="11">
        <v>500.0</v>
      </c>
      <c r="C264" s="8">
        <v>330.0</v>
      </c>
      <c r="D264" s="11">
        <v>0.0</v>
      </c>
      <c r="E264" s="11">
        <v>5000.0</v>
      </c>
      <c r="F264" s="11">
        <v>476.8</v>
      </c>
      <c r="G264" s="12" t="s">
        <v>21</v>
      </c>
      <c r="H264" s="12" t="s">
        <v>21</v>
      </c>
      <c r="I264" s="12" t="s">
        <v>21</v>
      </c>
      <c r="J264" s="11">
        <v>16.7</v>
      </c>
    </row>
    <row r="265">
      <c r="A265" s="12" t="s">
        <v>22</v>
      </c>
      <c r="B265" s="11">
        <v>50.0</v>
      </c>
      <c r="C265" s="7">
        <v>2.908</v>
      </c>
      <c r="D265" s="11">
        <v>5000.0</v>
      </c>
      <c r="E265" s="11">
        <v>0.0</v>
      </c>
      <c r="F265" s="11">
        <v>50.0</v>
      </c>
      <c r="G265" s="11">
        <v>0.06</v>
      </c>
      <c r="H265" s="11">
        <v>0.0</v>
      </c>
      <c r="I265" s="11">
        <v>0.01</v>
      </c>
      <c r="J265" s="11">
        <v>50.0</v>
      </c>
    </row>
    <row r="266">
      <c r="A266" s="12" t="s">
        <v>22</v>
      </c>
      <c r="B266" s="11">
        <v>100.0</v>
      </c>
      <c r="C266" s="7">
        <v>2.908</v>
      </c>
      <c r="D266" s="11">
        <v>4995.0</v>
      </c>
      <c r="E266" s="11">
        <v>0.0</v>
      </c>
      <c r="F266" s="11">
        <v>99.9</v>
      </c>
      <c r="G266" s="11">
        <v>0.02</v>
      </c>
      <c r="H266" s="11">
        <v>0.0</v>
      </c>
      <c r="I266" s="11">
        <v>0.01</v>
      </c>
      <c r="J266" s="11">
        <v>99.9</v>
      </c>
    </row>
    <row r="267">
      <c r="A267" s="12" t="s">
        <v>22</v>
      </c>
      <c r="B267" s="11">
        <v>200.0</v>
      </c>
      <c r="C267" s="7">
        <v>2.908</v>
      </c>
      <c r="D267" s="11">
        <v>5000.0</v>
      </c>
      <c r="E267" s="11">
        <v>0.0</v>
      </c>
      <c r="F267" s="11">
        <v>199.8</v>
      </c>
      <c r="G267" s="11">
        <v>0.5</v>
      </c>
      <c r="H267" s="11">
        <v>0.01</v>
      </c>
      <c r="I267" s="11">
        <v>0.01</v>
      </c>
      <c r="J267" s="11">
        <v>199.8</v>
      </c>
    </row>
    <row r="268">
      <c r="A268" s="12" t="s">
        <v>22</v>
      </c>
      <c r="B268" s="11">
        <v>300.0</v>
      </c>
      <c r="C268" s="7">
        <v>2.908</v>
      </c>
      <c r="D268" s="11">
        <v>5000.0</v>
      </c>
      <c r="E268" s="11">
        <v>0.0</v>
      </c>
      <c r="F268" s="11">
        <v>299.4</v>
      </c>
      <c r="G268" s="11">
        <v>0.03</v>
      </c>
      <c r="H268" s="11">
        <v>0.01</v>
      </c>
      <c r="I268" s="11">
        <v>0.01</v>
      </c>
      <c r="J268" s="11">
        <v>299.3</v>
      </c>
    </row>
    <row r="269">
      <c r="A269" s="12" t="s">
        <v>22</v>
      </c>
      <c r="B269" s="11">
        <v>400.0</v>
      </c>
      <c r="C269" s="7">
        <v>2.908</v>
      </c>
      <c r="D269" s="11">
        <v>5000.0</v>
      </c>
      <c r="E269" s="11">
        <v>0.0</v>
      </c>
      <c r="F269" s="11">
        <v>377.8</v>
      </c>
      <c r="G269" s="11">
        <v>1.19</v>
      </c>
      <c r="H269" s="11">
        <v>0.0</v>
      </c>
      <c r="I269" s="11">
        <v>0.01</v>
      </c>
      <c r="J269" s="11">
        <v>373.6</v>
      </c>
    </row>
    <row r="270">
      <c r="A270" s="12" t="s">
        <v>22</v>
      </c>
      <c r="B270" s="11">
        <v>500.0</v>
      </c>
      <c r="C270" s="7">
        <v>2.908</v>
      </c>
      <c r="D270" s="11">
        <v>5000.0</v>
      </c>
      <c r="E270" s="11">
        <v>0.0</v>
      </c>
      <c r="F270" s="11">
        <v>496.2</v>
      </c>
      <c r="G270" s="11">
        <v>0.1</v>
      </c>
      <c r="H270" s="11">
        <v>0.0</v>
      </c>
      <c r="I270" s="11">
        <v>0.02</v>
      </c>
      <c r="J270" s="11">
        <v>495.8</v>
      </c>
    </row>
    <row r="271">
      <c r="A271" s="12" t="s">
        <v>23</v>
      </c>
      <c r="B271" s="11">
        <v>10.0</v>
      </c>
      <c r="C271" s="11">
        <v>9.43</v>
      </c>
      <c r="D271" s="11">
        <v>5000.0</v>
      </c>
      <c r="E271" s="11">
        <v>0.0</v>
      </c>
      <c r="F271" s="11">
        <v>10.0</v>
      </c>
      <c r="G271" s="11">
        <v>227.01</v>
      </c>
      <c r="H271" s="11">
        <v>0.42</v>
      </c>
      <c r="I271" s="11">
        <v>100.84</v>
      </c>
      <c r="J271" s="11">
        <v>8.0</v>
      </c>
    </row>
    <row r="272">
      <c r="A272" s="12" t="s">
        <v>23</v>
      </c>
      <c r="B272" s="11">
        <v>10.0</v>
      </c>
      <c r="C272" s="11">
        <v>47.15</v>
      </c>
      <c r="D272" s="11">
        <v>5000.0</v>
      </c>
      <c r="E272" s="11">
        <v>0.0</v>
      </c>
      <c r="F272" s="11">
        <v>10.0</v>
      </c>
      <c r="G272" s="11">
        <v>152.18</v>
      </c>
      <c r="H272" s="11">
        <v>0.5</v>
      </c>
      <c r="I272" s="11">
        <v>73.16</v>
      </c>
      <c r="J272" s="11">
        <v>8.5</v>
      </c>
    </row>
    <row r="273">
      <c r="A273" s="12" t="s">
        <v>23</v>
      </c>
      <c r="B273" s="11">
        <v>10.0</v>
      </c>
      <c r="C273" s="11">
        <v>94.3</v>
      </c>
      <c r="D273" s="11">
        <v>5000.0</v>
      </c>
      <c r="E273" s="11">
        <v>0.0</v>
      </c>
      <c r="F273" s="11">
        <v>10.0</v>
      </c>
      <c r="G273" s="11">
        <v>259.65</v>
      </c>
      <c r="H273" s="11">
        <v>0.6</v>
      </c>
      <c r="I273" s="11">
        <v>106.9</v>
      </c>
      <c r="J273" s="11">
        <v>7.5</v>
      </c>
    </row>
    <row r="274">
      <c r="A274" s="12" t="s">
        <v>23</v>
      </c>
      <c r="B274" s="11">
        <v>10.0</v>
      </c>
      <c r="C274" s="11">
        <v>94.3</v>
      </c>
      <c r="D274" s="11">
        <v>5000.0</v>
      </c>
      <c r="E274" s="11">
        <v>0.0</v>
      </c>
      <c r="F274" s="11">
        <v>10.0</v>
      </c>
      <c r="G274" s="11">
        <v>213.84</v>
      </c>
      <c r="H274" s="11">
        <v>0.77</v>
      </c>
      <c r="I274" s="11">
        <v>78.89</v>
      </c>
      <c r="J274" s="11">
        <v>7.7</v>
      </c>
    </row>
    <row r="275">
      <c r="A275" s="12" t="s">
        <v>23</v>
      </c>
      <c r="B275" s="11">
        <v>10.0</v>
      </c>
      <c r="C275" s="11">
        <v>103.72999999999999</v>
      </c>
      <c r="D275" s="11">
        <v>819.0</v>
      </c>
      <c r="E275" s="11">
        <v>4181.0</v>
      </c>
      <c r="F275" s="11">
        <v>10.0</v>
      </c>
      <c r="G275" s="11">
        <v>303.42</v>
      </c>
      <c r="H275" s="11">
        <v>0.92</v>
      </c>
      <c r="I275" s="11">
        <v>152.2</v>
      </c>
      <c r="J275" s="11">
        <v>6.2</v>
      </c>
    </row>
    <row r="276">
      <c r="A276" s="12" t="s">
        <v>23</v>
      </c>
      <c r="B276" s="11">
        <v>10.0</v>
      </c>
      <c r="C276" s="11">
        <v>113.16</v>
      </c>
      <c r="D276" s="11">
        <v>536.0</v>
      </c>
      <c r="E276" s="11">
        <v>4464.0</v>
      </c>
      <c r="F276" s="11">
        <v>10.0</v>
      </c>
      <c r="G276" s="11">
        <v>298.74</v>
      </c>
      <c r="H276" s="11">
        <v>126.11</v>
      </c>
      <c r="I276" s="11">
        <v>212.33</v>
      </c>
      <c r="J276" s="11">
        <v>6.2</v>
      </c>
    </row>
    <row r="277">
      <c r="A277" s="12" t="s">
        <v>23</v>
      </c>
      <c r="B277" s="11">
        <v>10.0</v>
      </c>
      <c r="C277" s="11">
        <v>122.58999999999999</v>
      </c>
      <c r="D277" s="11">
        <v>630.0</v>
      </c>
      <c r="E277" s="11">
        <v>4370.0</v>
      </c>
      <c r="F277" s="11">
        <v>10.0</v>
      </c>
      <c r="G277" s="11">
        <v>275.94</v>
      </c>
      <c r="H277" s="11">
        <v>147.45</v>
      </c>
      <c r="I277" s="11">
        <v>251.77</v>
      </c>
      <c r="J277" s="11">
        <v>6.2</v>
      </c>
    </row>
    <row r="278">
      <c r="A278" s="12" t="s">
        <v>23</v>
      </c>
      <c r="B278" s="11">
        <v>10.0</v>
      </c>
      <c r="C278" s="11">
        <v>132.01999999999998</v>
      </c>
      <c r="D278" s="11">
        <v>597.0</v>
      </c>
      <c r="E278" s="11">
        <v>4403.0</v>
      </c>
      <c r="F278" s="11">
        <v>10.0</v>
      </c>
      <c r="G278" s="11">
        <v>305.0</v>
      </c>
      <c r="H278" s="11">
        <v>166.83</v>
      </c>
      <c r="I278" s="11">
        <v>282.31</v>
      </c>
      <c r="J278" s="11">
        <v>6.2</v>
      </c>
    </row>
    <row r="279">
      <c r="A279" s="12" t="s">
        <v>23</v>
      </c>
      <c r="B279" s="11">
        <v>10.0</v>
      </c>
      <c r="C279" s="11">
        <v>141.45</v>
      </c>
      <c r="D279" s="11">
        <v>821.0</v>
      </c>
      <c r="E279" s="11">
        <v>4179.0</v>
      </c>
      <c r="F279" s="11">
        <v>10.0</v>
      </c>
      <c r="G279" s="11">
        <v>302.64</v>
      </c>
      <c r="H279" s="11">
        <v>1.03</v>
      </c>
      <c r="I279" s="11">
        <v>152.71</v>
      </c>
      <c r="J279" s="11">
        <v>6.2</v>
      </c>
    </row>
    <row r="280">
      <c r="A280" s="12" t="s">
        <v>23</v>
      </c>
      <c r="B280" s="11">
        <v>10.0</v>
      </c>
      <c r="C280" s="11">
        <v>188.6</v>
      </c>
      <c r="D280" s="11">
        <v>594.0</v>
      </c>
      <c r="E280" s="11">
        <v>4406.0</v>
      </c>
      <c r="F280" s="11">
        <v>10.0</v>
      </c>
      <c r="G280" s="11">
        <v>295.19</v>
      </c>
      <c r="H280" s="11">
        <v>216.37</v>
      </c>
      <c r="I280" s="11">
        <v>237.58</v>
      </c>
      <c r="J280" s="11">
        <v>6.2</v>
      </c>
    </row>
    <row r="281">
      <c r="A281" s="12" t="s">
        <v>23</v>
      </c>
      <c r="B281" s="11">
        <v>10.0</v>
      </c>
      <c r="C281" s="11">
        <v>235.75</v>
      </c>
      <c r="D281" s="11">
        <v>0.0</v>
      </c>
      <c r="E281" s="11">
        <v>5000.0</v>
      </c>
      <c r="F281" s="11">
        <v>10.0</v>
      </c>
      <c r="G281" s="12" t="s">
        <v>21</v>
      </c>
      <c r="H281" s="12" t="s">
        <v>21</v>
      </c>
      <c r="I281" s="12" t="s">
        <v>21</v>
      </c>
      <c r="J281" s="11">
        <v>6.2</v>
      </c>
    </row>
    <row r="282">
      <c r="A282" s="12" t="s">
        <v>23</v>
      </c>
      <c r="B282" s="11">
        <v>10.0</v>
      </c>
      <c r="C282" s="11">
        <v>282.9</v>
      </c>
      <c r="D282" s="11">
        <v>0.0</v>
      </c>
      <c r="E282" s="11">
        <v>5000.0</v>
      </c>
      <c r="F282" s="11">
        <v>10.0</v>
      </c>
      <c r="G282" s="12" t="s">
        <v>21</v>
      </c>
      <c r="H282" s="12" t="s">
        <v>21</v>
      </c>
      <c r="I282" s="12" t="s">
        <v>21</v>
      </c>
      <c r="J282" s="11">
        <v>6.2</v>
      </c>
    </row>
    <row r="283">
      <c r="A283" s="12" t="s">
        <v>23</v>
      </c>
      <c r="B283" s="11">
        <v>50.0</v>
      </c>
      <c r="C283" s="7">
        <v>9.43</v>
      </c>
      <c r="D283" s="11">
        <v>1707.0</v>
      </c>
      <c r="E283" s="11">
        <v>3293.0</v>
      </c>
      <c r="F283" s="11">
        <v>49.7</v>
      </c>
      <c r="G283" s="11">
        <v>292.0</v>
      </c>
      <c r="H283" s="11">
        <v>0.42</v>
      </c>
      <c r="I283" s="11">
        <v>188.65</v>
      </c>
      <c r="J283" s="11">
        <v>13.9</v>
      </c>
    </row>
    <row r="284">
      <c r="A284" s="12" t="s">
        <v>23</v>
      </c>
      <c r="B284" s="11">
        <v>50.0</v>
      </c>
      <c r="C284" s="7">
        <v>18.81</v>
      </c>
      <c r="D284" s="11">
        <v>960.0</v>
      </c>
      <c r="E284" s="11">
        <v>4040.0</v>
      </c>
      <c r="F284" s="11">
        <v>49.9</v>
      </c>
      <c r="G284" s="11">
        <v>291.37</v>
      </c>
      <c r="H284" s="11">
        <v>0.72</v>
      </c>
      <c r="I284" s="11">
        <v>122.7</v>
      </c>
      <c r="J284" s="11">
        <v>12.7</v>
      </c>
    </row>
    <row r="285">
      <c r="A285" s="12" t="s">
        <v>23</v>
      </c>
      <c r="B285" s="11">
        <v>50.0</v>
      </c>
      <c r="C285" s="8">
        <f>C274*5</f>
        <v>471.5</v>
      </c>
      <c r="D285" s="11">
        <v>39.0</v>
      </c>
      <c r="E285" s="11">
        <v>4961.0</v>
      </c>
      <c r="F285" s="11">
        <v>49.8</v>
      </c>
      <c r="G285" s="11">
        <v>287.89</v>
      </c>
      <c r="H285" s="11">
        <v>127.2</v>
      </c>
      <c r="I285" s="11">
        <v>212.72</v>
      </c>
      <c r="J285" s="11">
        <v>14.5</v>
      </c>
    </row>
    <row r="286">
      <c r="A286" s="12" t="s">
        <v>23</v>
      </c>
      <c r="B286" s="11">
        <v>100.0</v>
      </c>
      <c r="C286" s="7">
        <v>9.43</v>
      </c>
      <c r="D286" s="11">
        <v>844.0</v>
      </c>
      <c r="E286" s="11">
        <v>4156.0</v>
      </c>
      <c r="F286" s="11">
        <v>98.9</v>
      </c>
      <c r="G286" s="11">
        <v>294.29</v>
      </c>
      <c r="H286" s="11">
        <v>0.56</v>
      </c>
      <c r="I286" s="11">
        <v>192.29</v>
      </c>
      <c r="J286" s="11">
        <v>14.7</v>
      </c>
    </row>
    <row r="287">
      <c r="A287" s="12" t="s">
        <v>23</v>
      </c>
      <c r="B287" s="11">
        <v>100.0</v>
      </c>
      <c r="C287" s="7">
        <v>18.81</v>
      </c>
      <c r="D287" s="11">
        <v>597.0</v>
      </c>
      <c r="E287" s="11">
        <v>4403.0</v>
      </c>
      <c r="F287" s="11">
        <v>99.5</v>
      </c>
      <c r="G287" s="11">
        <v>294.56</v>
      </c>
      <c r="H287" s="11">
        <v>0.57</v>
      </c>
      <c r="I287" s="11">
        <v>108.31</v>
      </c>
      <c r="J287" s="11">
        <v>14.6</v>
      </c>
    </row>
    <row r="288">
      <c r="A288" s="12" t="s">
        <v>23</v>
      </c>
      <c r="B288" s="11">
        <v>100.0</v>
      </c>
      <c r="C288" s="8">
        <f>C285*2</f>
        <v>943</v>
      </c>
      <c r="D288" s="11">
        <v>51.0</v>
      </c>
      <c r="E288" s="11">
        <v>4949.0</v>
      </c>
      <c r="F288" s="11">
        <v>99.1</v>
      </c>
      <c r="G288" s="11">
        <v>292.97</v>
      </c>
      <c r="H288" s="11">
        <v>171.13</v>
      </c>
      <c r="I288" s="11">
        <v>235.34</v>
      </c>
      <c r="J288" s="11">
        <v>15.5</v>
      </c>
    </row>
    <row r="289">
      <c r="A289" s="12" t="s">
        <v>23</v>
      </c>
      <c r="B289" s="11">
        <v>100.0</v>
      </c>
      <c r="C289" s="8">
        <v>471.5</v>
      </c>
      <c r="D289" s="11">
        <v>0.0</v>
      </c>
      <c r="E289" s="11">
        <v>5000.0</v>
      </c>
      <c r="F289" s="11">
        <v>99.4</v>
      </c>
      <c r="G289" s="12" t="s">
        <v>21</v>
      </c>
      <c r="H289" s="12" t="s">
        <v>21</v>
      </c>
      <c r="I289" s="12" t="s">
        <v>21</v>
      </c>
      <c r="J289" s="11">
        <v>15.4</v>
      </c>
    </row>
    <row r="290">
      <c r="A290" s="12" t="s">
        <v>23</v>
      </c>
      <c r="B290" s="11">
        <v>100.0</v>
      </c>
      <c r="C290" s="8">
        <f>C279*5</f>
        <v>707.25</v>
      </c>
      <c r="D290" s="11">
        <v>580.0</v>
      </c>
      <c r="E290" s="11">
        <v>4420.0</v>
      </c>
      <c r="F290" s="11">
        <v>99.2</v>
      </c>
      <c r="G290" s="11">
        <v>294.34</v>
      </c>
      <c r="H290" s="11">
        <v>0.69</v>
      </c>
      <c r="I290" s="11">
        <v>108.01</v>
      </c>
      <c r="J290" s="11">
        <v>14.5</v>
      </c>
    </row>
    <row r="291">
      <c r="A291" s="12" t="s">
        <v>23</v>
      </c>
      <c r="B291" s="11">
        <v>200.0</v>
      </c>
      <c r="C291" s="7">
        <v>9.43</v>
      </c>
      <c r="D291" s="11">
        <v>474.0</v>
      </c>
      <c r="E291" s="11">
        <v>4526.0</v>
      </c>
      <c r="F291" s="11">
        <v>196.4</v>
      </c>
      <c r="G291" s="11">
        <v>279.4</v>
      </c>
      <c r="H291" s="11">
        <v>0.7</v>
      </c>
      <c r="I291" s="11">
        <v>150.62</v>
      </c>
      <c r="J291" s="11">
        <v>15.7</v>
      </c>
    </row>
    <row r="292">
      <c r="A292" s="12" t="s">
        <v>23</v>
      </c>
      <c r="B292" s="11">
        <v>200.0</v>
      </c>
      <c r="C292" s="7">
        <v>18.81</v>
      </c>
      <c r="D292" s="11">
        <v>590.0</v>
      </c>
      <c r="E292" s="11">
        <v>4410.0</v>
      </c>
      <c r="F292" s="11">
        <v>197.8</v>
      </c>
      <c r="G292" s="11">
        <v>290.88</v>
      </c>
      <c r="H292" s="11">
        <v>0.7</v>
      </c>
      <c r="I292" s="11">
        <v>186.44</v>
      </c>
      <c r="J292" s="11">
        <v>15.7</v>
      </c>
    </row>
    <row r="293">
      <c r="A293" s="12" t="s">
        <v>23</v>
      </c>
      <c r="B293" s="11">
        <v>200.0</v>
      </c>
      <c r="C293" s="8">
        <f>C290*2</f>
        <v>1414.5</v>
      </c>
      <c r="D293" s="11">
        <v>41.0</v>
      </c>
      <c r="E293" s="11">
        <v>4959.0</v>
      </c>
      <c r="F293" s="11">
        <v>197.0</v>
      </c>
      <c r="G293" s="11">
        <v>296.91</v>
      </c>
      <c r="H293" s="11">
        <v>200.07</v>
      </c>
      <c r="I293" s="11">
        <v>237.46</v>
      </c>
      <c r="J293" s="11">
        <v>16.1</v>
      </c>
    </row>
    <row r="294">
      <c r="A294" s="12" t="s">
        <v>23</v>
      </c>
      <c r="B294" s="11">
        <v>200.0</v>
      </c>
      <c r="C294" s="8">
        <v>471.5</v>
      </c>
      <c r="D294" s="11">
        <v>0.0</v>
      </c>
      <c r="E294" s="11">
        <v>5000.0</v>
      </c>
      <c r="F294" s="11">
        <v>195.7</v>
      </c>
      <c r="G294" s="12" t="s">
        <v>21</v>
      </c>
      <c r="H294" s="12" t="s">
        <v>21</v>
      </c>
      <c r="I294" s="12" t="s">
        <v>21</v>
      </c>
      <c r="J294" s="11">
        <v>16.0</v>
      </c>
    </row>
    <row r="295">
      <c r="A295" s="12" t="s">
        <v>23</v>
      </c>
      <c r="B295" s="11">
        <v>200.0</v>
      </c>
      <c r="C295" s="8">
        <f>C284*5</f>
        <v>94.05</v>
      </c>
      <c r="D295" s="11">
        <v>410.0</v>
      </c>
      <c r="E295" s="11">
        <v>4590.0</v>
      </c>
      <c r="F295" s="11">
        <v>196.2</v>
      </c>
      <c r="G295" s="11">
        <v>277.34</v>
      </c>
      <c r="H295" s="11">
        <v>0.86</v>
      </c>
      <c r="I295" s="11">
        <v>136.63</v>
      </c>
      <c r="J295" s="11">
        <v>15.7</v>
      </c>
    </row>
    <row r="296">
      <c r="A296" s="12" t="s">
        <v>23</v>
      </c>
      <c r="B296" s="11">
        <v>300.0</v>
      </c>
      <c r="C296" s="7">
        <v>9.43</v>
      </c>
      <c r="D296" s="11">
        <v>313.0</v>
      </c>
      <c r="E296" s="11">
        <v>4687.0</v>
      </c>
      <c r="F296" s="11">
        <v>292.1</v>
      </c>
      <c r="G296" s="11">
        <v>287.44</v>
      </c>
      <c r="H296" s="11">
        <v>0.83</v>
      </c>
      <c r="I296" s="11">
        <v>104.64</v>
      </c>
      <c r="J296" s="11">
        <v>16.0</v>
      </c>
    </row>
    <row r="297">
      <c r="A297" s="12" t="s">
        <v>23</v>
      </c>
      <c r="B297" s="11">
        <v>300.0</v>
      </c>
      <c r="C297" s="7">
        <v>18.81</v>
      </c>
      <c r="D297" s="11">
        <v>374.0</v>
      </c>
      <c r="E297" s="11">
        <v>4626.0</v>
      </c>
      <c r="F297" s="11">
        <v>294.4</v>
      </c>
      <c r="G297" s="11">
        <v>291.9</v>
      </c>
      <c r="H297" s="11">
        <v>0.81</v>
      </c>
      <c r="I297" s="11">
        <v>142.33</v>
      </c>
      <c r="J297" s="11">
        <v>16.1</v>
      </c>
    </row>
    <row r="298">
      <c r="A298" s="12" t="s">
        <v>23</v>
      </c>
      <c r="B298" s="11">
        <v>300.0</v>
      </c>
      <c r="C298" s="8">
        <f>C287*5</f>
        <v>94.05</v>
      </c>
      <c r="D298" s="11">
        <v>100.0</v>
      </c>
      <c r="E298" s="11">
        <v>4900.0</v>
      </c>
      <c r="F298" s="11">
        <v>290.0</v>
      </c>
      <c r="G298" s="11">
        <v>290.22</v>
      </c>
      <c r="H298" s="11">
        <v>27.06</v>
      </c>
      <c r="I298" s="11">
        <v>170.09</v>
      </c>
      <c r="J298" s="11">
        <v>16.5</v>
      </c>
    </row>
    <row r="299">
      <c r="A299" s="12" t="s">
        <v>23</v>
      </c>
      <c r="B299" s="11">
        <v>300.0</v>
      </c>
      <c r="C299" s="8">
        <v>94.3</v>
      </c>
      <c r="D299" s="11">
        <v>28.0</v>
      </c>
      <c r="E299" s="11">
        <v>4972.0</v>
      </c>
      <c r="F299" s="11">
        <v>288.6</v>
      </c>
      <c r="G299" s="11">
        <v>293.55</v>
      </c>
      <c r="H299" s="11">
        <v>220.31</v>
      </c>
      <c r="I299" s="11">
        <v>260.98</v>
      </c>
      <c r="J299" s="11">
        <v>16.2</v>
      </c>
    </row>
    <row r="300">
      <c r="A300" s="12" t="s">
        <v>23</v>
      </c>
      <c r="B300" s="11">
        <v>300.0</v>
      </c>
      <c r="C300" s="8">
        <v>471.5</v>
      </c>
      <c r="D300" s="11">
        <v>0.0</v>
      </c>
      <c r="E300" s="11">
        <v>5000.0</v>
      </c>
      <c r="F300" s="11">
        <v>295.6</v>
      </c>
      <c r="G300" s="12" t="s">
        <v>21</v>
      </c>
      <c r="H300" s="12" t="s">
        <v>21</v>
      </c>
      <c r="I300" s="12" t="s">
        <v>21</v>
      </c>
      <c r="J300" s="11">
        <v>16.3</v>
      </c>
    </row>
    <row r="301">
      <c r="A301" s="12" t="s">
        <v>23</v>
      </c>
      <c r="B301" s="11">
        <v>400.0</v>
      </c>
      <c r="C301" s="7">
        <v>9.43</v>
      </c>
      <c r="D301" s="11">
        <v>362.0</v>
      </c>
      <c r="E301" s="11">
        <v>4638.0</v>
      </c>
      <c r="F301" s="11">
        <v>387.0</v>
      </c>
      <c r="G301" s="11">
        <v>291.26</v>
      </c>
      <c r="H301" s="11">
        <v>0.94</v>
      </c>
      <c r="I301" s="11">
        <v>100.95</v>
      </c>
      <c r="J301" s="11">
        <v>16.4</v>
      </c>
    </row>
    <row r="302">
      <c r="A302" s="12" t="s">
        <v>23</v>
      </c>
      <c r="B302" s="11">
        <v>400.0</v>
      </c>
      <c r="C302" s="7">
        <v>18.81</v>
      </c>
      <c r="D302" s="11">
        <v>347.0</v>
      </c>
      <c r="E302" s="11">
        <v>4653.0</v>
      </c>
      <c r="F302" s="11">
        <v>382.0</v>
      </c>
      <c r="G302" s="11">
        <v>262.24</v>
      </c>
      <c r="H302" s="11">
        <v>0.95</v>
      </c>
      <c r="I302" s="11">
        <v>99.11</v>
      </c>
      <c r="J302" s="11">
        <v>16.3</v>
      </c>
    </row>
    <row r="303">
      <c r="A303" s="12" t="s">
        <v>23</v>
      </c>
      <c r="B303" s="11">
        <v>400.0</v>
      </c>
      <c r="C303" s="8">
        <f>C292*5</f>
        <v>94.05</v>
      </c>
      <c r="D303" s="11">
        <v>48.0</v>
      </c>
      <c r="E303" s="11">
        <v>4952.0</v>
      </c>
      <c r="F303" s="11">
        <v>388.7</v>
      </c>
      <c r="G303" s="11">
        <v>287.07</v>
      </c>
      <c r="H303" s="11">
        <v>64.49</v>
      </c>
      <c r="I303" s="11">
        <v>184.22</v>
      </c>
      <c r="J303" s="11">
        <v>16.6</v>
      </c>
    </row>
    <row r="304">
      <c r="A304" s="12" t="s">
        <v>23</v>
      </c>
      <c r="B304" s="11">
        <v>400.0</v>
      </c>
      <c r="C304" s="8">
        <v>94.3</v>
      </c>
      <c r="D304" s="11">
        <v>32.0</v>
      </c>
      <c r="E304" s="11">
        <v>4968.0</v>
      </c>
      <c r="F304" s="11">
        <v>386.8</v>
      </c>
      <c r="G304" s="11">
        <v>282.53</v>
      </c>
      <c r="H304" s="11">
        <v>229.99</v>
      </c>
      <c r="I304" s="11">
        <v>253.22</v>
      </c>
      <c r="J304" s="11">
        <v>16.3</v>
      </c>
    </row>
    <row r="305">
      <c r="A305" s="12" t="s">
        <v>23</v>
      </c>
      <c r="B305" s="11">
        <v>400.0</v>
      </c>
      <c r="C305" s="8">
        <v>471.5</v>
      </c>
      <c r="D305" s="11">
        <v>0.0</v>
      </c>
      <c r="E305" s="11">
        <v>5000.0</v>
      </c>
      <c r="F305" s="11">
        <v>389.5</v>
      </c>
      <c r="G305" s="12" t="s">
        <v>21</v>
      </c>
      <c r="H305" s="12" t="s">
        <v>21</v>
      </c>
      <c r="I305" s="12" t="s">
        <v>21</v>
      </c>
      <c r="J305" s="11">
        <v>16.4</v>
      </c>
    </row>
    <row r="306">
      <c r="A306" s="12" t="s">
        <v>23</v>
      </c>
      <c r="B306" s="11">
        <v>500.0</v>
      </c>
      <c r="C306" s="7">
        <v>9.43</v>
      </c>
      <c r="D306" s="11">
        <v>427.0</v>
      </c>
      <c r="E306" s="11">
        <v>4573.0</v>
      </c>
      <c r="F306" s="11">
        <v>485.4</v>
      </c>
      <c r="G306" s="11">
        <v>283.46</v>
      </c>
      <c r="H306" s="11">
        <v>1.06</v>
      </c>
      <c r="I306" s="11">
        <v>106.41</v>
      </c>
      <c r="J306" s="11">
        <v>16.4</v>
      </c>
    </row>
    <row r="307">
      <c r="A307" s="12" t="s">
        <v>23</v>
      </c>
      <c r="B307" s="11">
        <v>500.0</v>
      </c>
      <c r="C307" s="7">
        <v>18.81</v>
      </c>
      <c r="D307" s="11">
        <v>804.0</v>
      </c>
      <c r="E307" s="11">
        <v>4196.0</v>
      </c>
      <c r="F307" s="11">
        <v>476.0</v>
      </c>
      <c r="G307" s="11">
        <v>294.15</v>
      </c>
      <c r="H307" s="11">
        <v>2.12</v>
      </c>
      <c r="I307" s="11">
        <v>186.46</v>
      </c>
      <c r="J307" s="11">
        <v>16.6</v>
      </c>
    </row>
    <row r="308">
      <c r="A308" s="12" t="s">
        <v>23</v>
      </c>
      <c r="B308" s="11">
        <v>500.0</v>
      </c>
      <c r="C308" s="8">
        <f>C304*2</f>
        <v>188.6</v>
      </c>
      <c r="D308" s="11">
        <v>31.0</v>
      </c>
      <c r="E308" s="11">
        <v>4969.0</v>
      </c>
      <c r="F308" s="11">
        <v>488.0</v>
      </c>
      <c r="G308" s="11">
        <v>286.12</v>
      </c>
      <c r="H308" s="11">
        <v>95.36</v>
      </c>
      <c r="I308" s="11">
        <v>196.93</v>
      </c>
      <c r="J308" s="11">
        <v>16.7</v>
      </c>
    </row>
    <row r="309">
      <c r="A309" s="12" t="s">
        <v>23</v>
      </c>
      <c r="B309" s="11">
        <v>500.0</v>
      </c>
      <c r="C309" s="8">
        <v>471.5</v>
      </c>
      <c r="D309" s="11">
        <v>0.0</v>
      </c>
      <c r="E309" s="11">
        <v>5000.0</v>
      </c>
      <c r="F309" s="11">
        <v>485.1</v>
      </c>
      <c r="G309" s="12" t="s">
        <v>21</v>
      </c>
      <c r="H309" s="12" t="s">
        <v>21</v>
      </c>
      <c r="I309" s="12" t="s">
        <v>21</v>
      </c>
      <c r="J309" s="11">
        <v>16.5</v>
      </c>
    </row>
    <row r="310">
      <c r="A310" s="12" t="s">
        <v>23</v>
      </c>
      <c r="B310" s="11">
        <v>500.0</v>
      </c>
      <c r="C310" s="8">
        <f>C309*5</f>
        <v>2357.5</v>
      </c>
      <c r="D310" s="11">
        <v>14.0</v>
      </c>
      <c r="E310" s="11">
        <v>4986.0</v>
      </c>
      <c r="F310" s="11">
        <v>481.2</v>
      </c>
      <c r="G310" s="11">
        <v>297.71</v>
      </c>
      <c r="H310" s="11">
        <v>235.18</v>
      </c>
      <c r="I310" s="11">
        <v>267.61</v>
      </c>
      <c r="J310" s="11">
        <v>16.4</v>
      </c>
    </row>
    <row r="313">
      <c r="A313" s="1" t="s">
        <v>27</v>
      </c>
      <c r="B313" s="2"/>
      <c r="C313" s="2"/>
      <c r="D313" s="2"/>
      <c r="E313" s="2"/>
      <c r="F313" s="2"/>
      <c r="G313" s="2"/>
      <c r="H313" s="2"/>
      <c r="I313" s="3"/>
    </row>
    <row r="315">
      <c r="A315" s="16" t="s">
        <v>28</v>
      </c>
      <c r="B315" s="16"/>
      <c r="C315" s="16"/>
      <c r="D315" s="16"/>
      <c r="E315" s="16"/>
      <c r="F315" s="16"/>
      <c r="G315" s="16"/>
      <c r="H315" s="16"/>
      <c r="I315" s="16"/>
    </row>
    <row r="316">
      <c r="A316" s="14" t="s">
        <v>1</v>
      </c>
      <c r="B316" s="14" t="s">
        <v>29</v>
      </c>
      <c r="C316" s="14" t="s">
        <v>30</v>
      </c>
      <c r="D316" s="14" t="s">
        <v>31</v>
      </c>
      <c r="E316" s="14" t="s">
        <v>32</v>
      </c>
      <c r="F316" s="14" t="s">
        <v>33</v>
      </c>
      <c r="G316" s="14" t="s">
        <v>34</v>
      </c>
      <c r="H316" s="14" t="s">
        <v>35</v>
      </c>
      <c r="I316" s="14" t="s">
        <v>36</v>
      </c>
    </row>
    <row r="317">
      <c r="A317" s="12" t="s">
        <v>11</v>
      </c>
      <c r="B317" s="11">
        <v>50.0</v>
      </c>
      <c r="C317" s="11">
        <v>16.11</v>
      </c>
      <c r="D317" s="11">
        <v>39.4</v>
      </c>
      <c r="E317" s="11">
        <v>13.28</v>
      </c>
      <c r="F317" s="11">
        <f>ROUND(F318 - RAND()*20,2)</f>
        <v>113.7</v>
      </c>
      <c r="G317" s="11">
        <f t="shared" ref="G317:G359" si="2">ROUND(H317/2048*100,2)</f>
        <v>18.36</v>
      </c>
      <c r="H317" s="11">
        <f t="shared" ref="H317:I317" si="1">ROUND(H318 - RAND(),2)</f>
        <v>376.1</v>
      </c>
      <c r="I317" s="11">
        <f t="shared" si="1"/>
        <v>8214.63</v>
      </c>
    </row>
    <row r="318">
      <c r="A318" s="12" t="s">
        <v>11</v>
      </c>
      <c r="B318" s="11">
        <v>100.0</v>
      </c>
      <c r="C318" s="11">
        <v>16.17</v>
      </c>
      <c r="D318" s="11">
        <v>44.5</v>
      </c>
      <c r="E318" s="11">
        <v>14.57</v>
      </c>
      <c r="F318" s="11">
        <v>128.6</v>
      </c>
      <c r="G318" s="11">
        <f t="shared" si="2"/>
        <v>18.4</v>
      </c>
      <c r="H318" s="11">
        <v>376.83</v>
      </c>
      <c r="I318" s="11">
        <v>8215.11</v>
      </c>
    </row>
    <row r="319">
      <c r="A319" s="12" t="s">
        <v>11</v>
      </c>
      <c r="B319" s="11">
        <v>200.0</v>
      </c>
      <c r="C319" s="11">
        <v>23.0</v>
      </c>
      <c r="D319" s="11">
        <v>46.3</v>
      </c>
      <c r="E319" s="11">
        <v>20.14</v>
      </c>
      <c r="F319" s="11">
        <v>105.58</v>
      </c>
      <c r="G319" s="11">
        <f t="shared" si="2"/>
        <v>18.32</v>
      </c>
      <c r="H319" s="11">
        <v>375.27</v>
      </c>
      <c r="I319" s="11">
        <v>8256.35</v>
      </c>
    </row>
    <row r="320">
      <c r="A320" s="12" t="s">
        <v>11</v>
      </c>
      <c r="B320" s="11">
        <v>300.0</v>
      </c>
      <c r="C320" s="11">
        <v>22.65</v>
      </c>
      <c r="D320" s="11">
        <v>59.5</v>
      </c>
      <c r="E320" s="11">
        <v>20.42</v>
      </c>
      <c r="F320" s="11">
        <v>119.53</v>
      </c>
      <c r="G320" s="11">
        <f t="shared" si="2"/>
        <v>18.53</v>
      </c>
      <c r="H320" s="11">
        <v>379.52</v>
      </c>
      <c r="I320" s="11">
        <v>8300.1</v>
      </c>
    </row>
    <row r="321">
      <c r="A321" s="12" t="s">
        <v>11</v>
      </c>
      <c r="B321" s="11">
        <v>400.0</v>
      </c>
      <c r="C321" s="11">
        <v>26.82</v>
      </c>
      <c r="D321" s="11">
        <v>77.3</v>
      </c>
      <c r="E321" s="11">
        <v>24.98</v>
      </c>
      <c r="F321" s="11">
        <v>123.77</v>
      </c>
      <c r="G321" s="11">
        <f t="shared" si="2"/>
        <v>18.38</v>
      </c>
      <c r="H321" s="11">
        <v>376.38</v>
      </c>
      <c r="I321" s="11">
        <v>8345.72</v>
      </c>
    </row>
    <row r="322">
      <c r="A322" s="12" t="s">
        <v>11</v>
      </c>
      <c r="B322" s="11">
        <v>500.0</v>
      </c>
      <c r="C322" s="11">
        <v>28.86</v>
      </c>
      <c r="D322" s="11">
        <v>81.7</v>
      </c>
      <c r="E322" s="11">
        <v>26.43</v>
      </c>
      <c r="F322" s="11">
        <v>114.84</v>
      </c>
      <c r="G322" s="11">
        <f t="shared" si="2"/>
        <v>18.15</v>
      </c>
      <c r="H322" s="11">
        <v>371.74</v>
      </c>
      <c r="I322" s="11">
        <v>8400.26</v>
      </c>
    </row>
    <row r="323">
      <c r="A323" s="12" t="s">
        <v>12</v>
      </c>
      <c r="B323" s="11">
        <v>50.0</v>
      </c>
      <c r="C323" s="11">
        <v>17.65</v>
      </c>
      <c r="D323" s="11">
        <v>88.8</v>
      </c>
      <c r="E323" s="11">
        <v>14.43</v>
      </c>
      <c r="F323" s="11">
        <f t="shared" ref="F323:F327" si="3">ROUND(F324 - RAND()*10,2)</f>
        <v>97.82</v>
      </c>
      <c r="G323" s="11">
        <f t="shared" si="2"/>
        <v>14.52</v>
      </c>
      <c r="H323" s="11">
        <v>297.45</v>
      </c>
      <c r="I323" s="11">
        <f t="shared" ref="I323:I326" si="4">ROUND(I324 - RAND()*20,2)</f>
        <v>2749.8</v>
      </c>
    </row>
    <row r="324">
      <c r="A324" s="12" t="s">
        <v>12</v>
      </c>
      <c r="B324" s="11">
        <v>100.0</v>
      </c>
      <c r="C324" s="11">
        <v>17.87</v>
      </c>
      <c r="D324" s="11">
        <v>88.9</v>
      </c>
      <c r="E324" s="11">
        <v>15.12</v>
      </c>
      <c r="F324" s="11">
        <f t="shared" si="3"/>
        <v>99.76</v>
      </c>
      <c r="G324" s="11">
        <f t="shared" si="2"/>
        <v>14.52</v>
      </c>
      <c r="H324" s="11">
        <v>297.45</v>
      </c>
      <c r="I324" s="11">
        <f t="shared" si="4"/>
        <v>2752.34</v>
      </c>
    </row>
    <row r="325">
      <c r="A325" s="12" t="s">
        <v>12</v>
      </c>
      <c r="B325" s="11">
        <v>200.0</v>
      </c>
      <c r="C325" s="11">
        <v>17.96</v>
      </c>
      <c r="D325" s="11">
        <v>88.9</v>
      </c>
      <c r="E325" s="11">
        <v>17.52</v>
      </c>
      <c r="F325" s="11">
        <f t="shared" si="3"/>
        <v>106.6</v>
      </c>
      <c r="G325" s="11">
        <f t="shared" si="2"/>
        <v>14.52</v>
      </c>
      <c r="H325" s="11">
        <v>297.45</v>
      </c>
      <c r="I325" s="11">
        <f t="shared" si="4"/>
        <v>2765.95</v>
      </c>
    </row>
    <row r="326">
      <c r="A326" s="12" t="s">
        <v>12</v>
      </c>
      <c r="B326" s="11">
        <v>300.0</v>
      </c>
      <c r="C326" s="11">
        <v>17.96</v>
      </c>
      <c r="D326" s="11">
        <v>89.0</v>
      </c>
      <c r="E326" s="11">
        <v>18.18</v>
      </c>
      <c r="F326" s="11">
        <f t="shared" si="3"/>
        <v>116.37</v>
      </c>
      <c r="G326" s="11">
        <f t="shared" si="2"/>
        <v>14.52</v>
      </c>
      <c r="H326" s="11">
        <v>297.45</v>
      </c>
      <c r="I326" s="11">
        <f t="shared" si="4"/>
        <v>2766.98</v>
      </c>
    </row>
    <row r="327">
      <c r="A327" s="12" t="s">
        <v>12</v>
      </c>
      <c r="B327" s="11">
        <v>400.0</v>
      </c>
      <c r="C327" s="11">
        <v>17.94</v>
      </c>
      <c r="D327" s="11">
        <v>88.9</v>
      </c>
      <c r="E327" s="11">
        <v>18.72</v>
      </c>
      <c r="F327" s="11">
        <f t="shared" si="3"/>
        <v>117.42</v>
      </c>
      <c r="G327" s="11">
        <f t="shared" si="2"/>
        <v>14.52</v>
      </c>
      <c r="H327" s="11">
        <v>297.45</v>
      </c>
      <c r="I327" s="11">
        <v>2785.62</v>
      </c>
    </row>
    <row r="328">
      <c r="A328" s="12" t="s">
        <v>12</v>
      </c>
      <c r="B328" s="11">
        <v>500.0</v>
      </c>
      <c r="C328" s="11">
        <v>25.54</v>
      </c>
      <c r="D328" s="11">
        <v>86.0</v>
      </c>
      <c r="E328" s="11">
        <f t="shared" ref="E328:E330" si="5">ROUND(E329 - RAND(),2)</f>
        <v>17.68</v>
      </c>
      <c r="F328" s="11">
        <v>126.65</v>
      </c>
      <c r="G328" s="11">
        <f t="shared" si="2"/>
        <v>14.52</v>
      </c>
      <c r="H328" s="11">
        <v>297.45</v>
      </c>
      <c r="I328" s="11">
        <v>2681.62</v>
      </c>
    </row>
    <row r="329">
      <c r="A329" s="12" t="s">
        <v>14</v>
      </c>
      <c r="B329" s="11">
        <v>50.0</v>
      </c>
      <c r="C329" s="11">
        <v>14.58</v>
      </c>
      <c r="D329" s="11">
        <v>86.8</v>
      </c>
      <c r="E329" s="11">
        <f t="shared" si="5"/>
        <v>18.03</v>
      </c>
      <c r="F329" s="11">
        <f t="shared" ref="F329:F330" si="6">ROUND(F330 - RAND(),2)</f>
        <v>164.16</v>
      </c>
      <c r="G329" s="11">
        <f t="shared" si="2"/>
        <v>12.42</v>
      </c>
      <c r="H329" s="11">
        <f t="shared" ref="H329:H330" si="7">ROUND(H330 - RAND(),2)</f>
        <v>254.39</v>
      </c>
      <c r="I329" s="13">
        <v>7073.66</v>
      </c>
    </row>
    <row r="330">
      <c r="A330" s="12" t="s">
        <v>14</v>
      </c>
      <c r="B330" s="11">
        <v>100.0</v>
      </c>
      <c r="C330" s="11">
        <v>13.89</v>
      </c>
      <c r="D330" s="11">
        <v>86.4</v>
      </c>
      <c r="E330" s="11">
        <f t="shared" si="5"/>
        <v>18.73</v>
      </c>
      <c r="F330" s="11">
        <f t="shared" si="6"/>
        <v>165.01</v>
      </c>
      <c r="G330" s="11">
        <f t="shared" si="2"/>
        <v>12.46</v>
      </c>
      <c r="H330" s="11">
        <f t="shared" si="7"/>
        <v>255.16</v>
      </c>
      <c r="I330" s="13">
        <v>7401.26</v>
      </c>
    </row>
    <row r="331">
      <c r="A331" s="12" t="s">
        <v>14</v>
      </c>
      <c r="B331" s="11">
        <v>200.0</v>
      </c>
      <c r="C331" s="11">
        <v>20.99</v>
      </c>
      <c r="D331" s="11">
        <v>78.6</v>
      </c>
      <c r="E331" s="11">
        <v>19.16</v>
      </c>
      <c r="F331" s="11">
        <v>165.03</v>
      </c>
      <c r="G331" s="11">
        <f t="shared" si="2"/>
        <v>12.49</v>
      </c>
      <c r="H331" s="11">
        <v>255.71</v>
      </c>
      <c r="I331" s="13">
        <v>7621.49</v>
      </c>
    </row>
    <row r="332">
      <c r="A332" s="12" t="s">
        <v>14</v>
      </c>
      <c r="B332" s="11">
        <v>300.0</v>
      </c>
      <c r="C332" s="11">
        <v>21.15</v>
      </c>
      <c r="D332" s="11">
        <v>80.7</v>
      </c>
      <c r="E332" s="11">
        <v>24.01</v>
      </c>
      <c r="F332" s="11">
        <v>307.0</v>
      </c>
      <c r="G332" s="11">
        <f t="shared" si="2"/>
        <v>19.14</v>
      </c>
      <c r="H332" s="11">
        <v>392.0</v>
      </c>
      <c r="I332" s="11">
        <v>8908.24</v>
      </c>
    </row>
    <row r="333">
      <c r="A333" s="12" t="s">
        <v>14</v>
      </c>
      <c r="B333" s="11">
        <v>400.0</v>
      </c>
      <c r="C333" s="11">
        <v>32.08</v>
      </c>
      <c r="D333" s="11">
        <v>88.4</v>
      </c>
      <c r="E333" s="11">
        <v>30.98</v>
      </c>
      <c r="F333" s="11">
        <v>165.24</v>
      </c>
      <c r="G333" s="11">
        <f t="shared" si="2"/>
        <v>14.23</v>
      </c>
      <c r="H333" s="11">
        <v>291.46</v>
      </c>
      <c r="I333" s="13">
        <v>7427.5</v>
      </c>
    </row>
    <row r="334">
      <c r="A334" s="12" t="s">
        <v>14</v>
      </c>
      <c r="B334" s="11">
        <v>500.0</v>
      </c>
      <c r="C334" s="11">
        <v>38.19</v>
      </c>
      <c r="D334" s="11">
        <v>85.0</v>
      </c>
      <c r="E334" s="11">
        <v>47.56</v>
      </c>
      <c r="F334" s="11">
        <v>249.59</v>
      </c>
      <c r="G334" s="11">
        <f t="shared" si="2"/>
        <v>18.53</v>
      </c>
      <c r="H334" s="11">
        <v>379.52</v>
      </c>
      <c r="I334" s="11">
        <v>7017.5</v>
      </c>
    </row>
    <row r="335">
      <c r="A335" s="12" t="s">
        <v>37</v>
      </c>
      <c r="B335" s="11">
        <v>50.0</v>
      </c>
      <c r="C335" s="11">
        <v>9.54</v>
      </c>
      <c r="D335" s="11">
        <v>49.7</v>
      </c>
      <c r="E335" s="11">
        <v>1.36</v>
      </c>
      <c r="F335" s="11">
        <v>188.57</v>
      </c>
      <c r="G335" s="11">
        <f t="shared" si="2"/>
        <v>11.84</v>
      </c>
      <c r="H335" s="11">
        <v>242.47</v>
      </c>
      <c r="I335" s="11">
        <v>2578.75</v>
      </c>
    </row>
    <row r="336">
      <c r="A336" s="12" t="s">
        <v>37</v>
      </c>
      <c r="B336" s="11">
        <v>100.0</v>
      </c>
      <c r="C336" s="11">
        <v>9.39</v>
      </c>
      <c r="D336" s="11">
        <v>49.1</v>
      </c>
      <c r="E336" s="11">
        <v>1.26</v>
      </c>
      <c r="F336" s="11">
        <v>188.57</v>
      </c>
      <c r="G336" s="11">
        <f t="shared" si="2"/>
        <v>11.65</v>
      </c>
      <c r="H336" s="11">
        <v>238.68</v>
      </c>
      <c r="I336" s="11">
        <v>2582.57</v>
      </c>
    </row>
    <row r="337">
      <c r="A337" s="12" t="s">
        <v>37</v>
      </c>
      <c r="B337" s="11">
        <v>200.0</v>
      </c>
      <c r="C337" s="11">
        <v>9.18</v>
      </c>
      <c r="D337" s="11">
        <v>49.4</v>
      </c>
      <c r="E337" s="11">
        <v>1.13</v>
      </c>
      <c r="F337" s="11">
        <v>188.57</v>
      </c>
      <c r="G337" s="11">
        <f t="shared" si="2"/>
        <v>11.54</v>
      </c>
      <c r="H337" s="11">
        <v>236.3</v>
      </c>
      <c r="I337" s="11">
        <v>2584.61</v>
      </c>
    </row>
    <row r="338">
      <c r="A338" s="12" t="s">
        <v>37</v>
      </c>
      <c r="B338" s="11">
        <v>300.0</v>
      </c>
      <c r="C338" s="11">
        <v>8.94</v>
      </c>
      <c r="D338" s="11">
        <v>49.8</v>
      </c>
      <c r="E338" s="11">
        <v>0.98</v>
      </c>
      <c r="F338" s="11">
        <v>188.57</v>
      </c>
      <c r="G338" s="11">
        <f t="shared" si="2"/>
        <v>11.45</v>
      </c>
      <c r="H338" s="11">
        <v>234.48</v>
      </c>
      <c r="I338" s="11">
        <v>2585.68</v>
      </c>
    </row>
    <row r="339">
      <c r="A339" s="12" t="s">
        <v>37</v>
      </c>
      <c r="B339" s="11">
        <v>400.0</v>
      </c>
      <c r="C339" s="11">
        <v>8.7</v>
      </c>
      <c r="D339" s="11">
        <v>49.1</v>
      </c>
      <c r="E339" s="11">
        <v>0.83</v>
      </c>
      <c r="F339" s="11">
        <v>188.57</v>
      </c>
      <c r="G339" s="11">
        <f t="shared" si="2"/>
        <v>11.36</v>
      </c>
      <c r="H339" s="11">
        <v>232.73</v>
      </c>
      <c r="I339" s="11">
        <v>2586.34</v>
      </c>
    </row>
    <row r="340">
      <c r="A340" s="12" t="s">
        <v>37</v>
      </c>
      <c r="B340" s="11">
        <v>500.0</v>
      </c>
      <c r="C340" s="11">
        <v>8.43</v>
      </c>
      <c r="D340" s="11">
        <v>49.3</v>
      </c>
      <c r="E340" s="11">
        <v>0.67</v>
      </c>
      <c r="F340" s="11">
        <v>188.57</v>
      </c>
      <c r="G340" s="11">
        <f t="shared" si="2"/>
        <v>11.28</v>
      </c>
      <c r="H340" s="11">
        <v>231.02</v>
      </c>
      <c r="I340" s="11">
        <v>2586.68</v>
      </c>
    </row>
    <row r="341">
      <c r="A341" s="12" t="s">
        <v>15</v>
      </c>
      <c r="B341" s="11">
        <v>50.0</v>
      </c>
      <c r="C341" s="11">
        <v>11.54</v>
      </c>
      <c r="D341" s="11">
        <v>81.3</v>
      </c>
      <c r="E341" s="11">
        <v>2.91</v>
      </c>
      <c r="F341" s="11">
        <v>188.57</v>
      </c>
      <c r="G341" s="11">
        <f t="shared" si="2"/>
        <v>12.23</v>
      </c>
      <c r="H341" s="11">
        <v>250.54</v>
      </c>
      <c r="I341" s="11">
        <v>2553.87</v>
      </c>
    </row>
    <row r="342">
      <c r="A342" s="12" t="s">
        <v>15</v>
      </c>
      <c r="B342" s="11">
        <v>100.0</v>
      </c>
      <c r="C342" s="11">
        <v>11.34</v>
      </c>
      <c r="D342" s="11">
        <v>81.2</v>
      </c>
      <c r="E342" s="11">
        <v>2.74</v>
      </c>
      <c r="F342" s="11">
        <v>188.57</v>
      </c>
      <c r="G342" s="11">
        <f t="shared" si="2"/>
        <v>12.15</v>
      </c>
      <c r="H342" s="11">
        <v>248.86</v>
      </c>
      <c r="I342" s="11">
        <v>2563.65</v>
      </c>
    </row>
    <row r="343">
      <c r="A343" s="12" t="s">
        <v>15</v>
      </c>
      <c r="B343" s="11">
        <v>200.0</v>
      </c>
      <c r="C343" s="11">
        <v>11.08</v>
      </c>
      <c r="D343" s="11">
        <v>81.6</v>
      </c>
      <c r="E343" s="11">
        <v>2.55</v>
      </c>
      <c r="F343" s="11">
        <v>188.57</v>
      </c>
      <c r="G343" s="11">
        <f t="shared" si="2"/>
        <v>12.07</v>
      </c>
      <c r="H343" s="11">
        <v>247.1</v>
      </c>
      <c r="I343" s="11">
        <v>2569.28</v>
      </c>
    </row>
    <row r="344">
      <c r="A344" s="12" t="s">
        <v>15</v>
      </c>
      <c r="B344" s="11">
        <v>300.0</v>
      </c>
      <c r="C344" s="11">
        <v>10.74</v>
      </c>
      <c r="D344" s="11">
        <v>81.2</v>
      </c>
      <c r="E344" s="11">
        <v>2.29</v>
      </c>
      <c r="F344" s="11">
        <v>188.57</v>
      </c>
      <c r="G344" s="11">
        <f t="shared" si="2"/>
        <v>12.01</v>
      </c>
      <c r="H344" s="11">
        <v>245.89</v>
      </c>
      <c r="I344" s="11">
        <v>2572.7</v>
      </c>
    </row>
    <row r="345">
      <c r="A345" s="12" t="s">
        <v>15</v>
      </c>
      <c r="B345" s="11">
        <v>400.0</v>
      </c>
      <c r="C345" s="11">
        <v>10.38</v>
      </c>
      <c r="D345" s="11">
        <v>82.4</v>
      </c>
      <c r="E345" s="11">
        <v>2.01</v>
      </c>
      <c r="F345" s="11">
        <v>188.57</v>
      </c>
      <c r="G345" s="11">
        <f t="shared" si="2"/>
        <v>11.95</v>
      </c>
      <c r="H345" s="11">
        <v>244.81</v>
      </c>
      <c r="I345" s="11">
        <v>2575.26</v>
      </c>
    </row>
    <row r="346">
      <c r="A346" s="12" t="s">
        <v>15</v>
      </c>
      <c r="B346" s="11">
        <v>500.0</v>
      </c>
      <c r="C346" s="11">
        <v>9.96</v>
      </c>
      <c r="D346" s="11">
        <v>79.3</v>
      </c>
      <c r="E346" s="11">
        <v>1.68</v>
      </c>
      <c r="F346" s="11">
        <v>188.57</v>
      </c>
      <c r="G346" s="11">
        <f t="shared" si="2"/>
        <v>11.9</v>
      </c>
      <c r="H346" s="11">
        <v>243.63</v>
      </c>
      <c r="I346" s="11">
        <v>2577.23</v>
      </c>
    </row>
    <row r="347">
      <c r="A347" s="12" t="s">
        <v>16</v>
      </c>
      <c r="B347" s="11">
        <v>50.0</v>
      </c>
      <c r="C347" s="11">
        <v>17.76</v>
      </c>
      <c r="D347" s="11">
        <v>88.9</v>
      </c>
      <c r="E347" s="11">
        <f t="shared" ref="E347:F347" si="8">ROUND(E348 - RAND(),2)</f>
        <v>15.69</v>
      </c>
      <c r="F347" s="11">
        <f t="shared" si="8"/>
        <v>122.39</v>
      </c>
      <c r="G347" s="11">
        <f t="shared" si="2"/>
        <v>17.91</v>
      </c>
      <c r="H347" s="11">
        <f t="shared" ref="H347:I347" si="9">ROUND(H348 - RAND(),2)</f>
        <v>366.7</v>
      </c>
      <c r="I347" s="11">
        <f t="shared" si="9"/>
        <v>7757.65</v>
      </c>
    </row>
    <row r="348">
      <c r="A348" s="12" t="s">
        <v>16</v>
      </c>
      <c r="B348" s="11">
        <v>100.0</v>
      </c>
      <c r="C348" s="11">
        <v>17.94</v>
      </c>
      <c r="D348" s="11">
        <v>88.9</v>
      </c>
      <c r="E348" s="11">
        <f t="shared" ref="E348:F348" si="10">ROUND(E349 - RAND(),2)</f>
        <v>16.5</v>
      </c>
      <c r="F348" s="11">
        <f t="shared" si="10"/>
        <v>122.85</v>
      </c>
      <c r="G348" s="11">
        <f t="shared" si="2"/>
        <v>17.95</v>
      </c>
      <c r="H348" s="11">
        <f t="shared" ref="H348:I348" si="11">ROUND(H349 - RAND(),2)</f>
        <v>367.66</v>
      </c>
      <c r="I348" s="11">
        <f t="shared" si="11"/>
        <v>7758.12</v>
      </c>
    </row>
    <row r="349">
      <c r="A349" s="12" t="s">
        <v>16</v>
      </c>
      <c r="B349" s="11">
        <v>200.0</v>
      </c>
      <c r="C349" s="11">
        <v>18.03</v>
      </c>
      <c r="D349" s="11">
        <v>89.4</v>
      </c>
      <c r="E349" s="11">
        <f t="shared" ref="E349:F349" si="12">ROUND(E350 - RAND(),2)</f>
        <v>16.82</v>
      </c>
      <c r="F349" s="11">
        <f t="shared" si="12"/>
        <v>122.93</v>
      </c>
      <c r="G349" s="11">
        <f t="shared" si="2"/>
        <v>17.99</v>
      </c>
      <c r="H349" s="11">
        <f t="shared" ref="H349:I349" si="13">ROUND(H350 - RAND(),2)</f>
        <v>368.4</v>
      </c>
      <c r="I349" s="11">
        <f t="shared" si="13"/>
        <v>7758.46</v>
      </c>
    </row>
    <row r="350">
      <c r="A350" s="12" t="s">
        <v>16</v>
      </c>
      <c r="B350" s="11">
        <v>300.0</v>
      </c>
      <c r="C350" s="11">
        <v>17.98</v>
      </c>
      <c r="D350" s="11">
        <v>88.9</v>
      </c>
      <c r="E350" s="11">
        <f t="shared" ref="E350:F350" si="14">ROUND(E351 - RAND(),2)</f>
        <v>17.41</v>
      </c>
      <c r="F350" s="11">
        <f t="shared" si="14"/>
        <v>123.58</v>
      </c>
      <c r="G350" s="11">
        <f t="shared" si="2"/>
        <v>18.01</v>
      </c>
      <c r="H350" s="11">
        <f t="shared" ref="H350:I350" si="15">ROUND(H351 - RAND(),2)</f>
        <v>368.8</v>
      </c>
      <c r="I350" s="11">
        <f t="shared" si="15"/>
        <v>7758.79</v>
      </c>
    </row>
    <row r="351">
      <c r="A351" s="12" t="s">
        <v>16</v>
      </c>
      <c r="B351" s="11">
        <v>400.0</v>
      </c>
      <c r="C351" s="11">
        <v>17.91</v>
      </c>
      <c r="D351" s="11">
        <v>88.9</v>
      </c>
      <c r="E351" s="11">
        <f t="shared" ref="E351:F351" si="16">ROUND(E352 - RAND(),2)</f>
        <v>17.57</v>
      </c>
      <c r="F351" s="11">
        <f t="shared" si="16"/>
        <v>124.05</v>
      </c>
      <c r="G351" s="11">
        <f t="shared" si="2"/>
        <v>18.01</v>
      </c>
      <c r="H351" s="11">
        <f t="shared" ref="H351:I351" si="17">ROUND(H352 - RAND(),2)</f>
        <v>368.87</v>
      </c>
      <c r="I351" s="11">
        <f t="shared" si="17"/>
        <v>7759.29</v>
      </c>
    </row>
    <row r="352">
      <c r="A352" s="12" t="s">
        <v>16</v>
      </c>
      <c r="B352" s="11">
        <v>500.0</v>
      </c>
      <c r="C352" s="11">
        <v>26.58</v>
      </c>
      <c r="D352" s="11">
        <v>82.8</v>
      </c>
      <c r="E352" s="11">
        <v>18.07</v>
      </c>
      <c r="F352" s="11">
        <v>124.43</v>
      </c>
      <c r="G352" s="11">
        <f t="shared" si="2"/>
        <v>18.04</v>
      </c>
      <c r="H352" s="11">
        <v>369.37</v>
      </c>
      <c r="I352" s="11">
        <v>7759.74</v>
      </c>
    </row>
    <row r="353">
      <c r="A353" s="12" t="s">
        <v>16</v>
      </c>
      <c r="B353" s="11">
        <v>500.0</v>
      </c>
      <c r="C353" s="11">
        <v>26.58</v>
      </c>
      <c r="D353" s="11">
        <v>82.8</v>
      </c>
      <c r="E353" s="11">
        <v>18.07</v>
      </c>
      <c r="F353" s="11">
        <v>124.43</v>
      </c>
      <c r="G353" s="11">
        <f t="shared" si="2"/>
        <v>18.04</v>
      </c>
      <c r="H353" s="11">
        <v>369.37</v>
      </c>
      <c r="I353" s="11">
        <v>7759.74</v>
      </c>
    </row>
    <row r="354">
      <c r="A354" s="12" t="s">
        <v>17</v>
      </c>
      <c r="B354" s="11">
        <v>50.0</v>
      </c>
      <c r="C354" s="11">
        <v>17.75</v>
      </c>
      <c r="D354" s="11">
        <v>88.8</v>
      </c>
      <c r="E354" s="11">
        <f t="shared" ref="E354:F354" si="18">ROUND(E355 - RAND(),2)</f>
        <v>14.24</v>
      </c>
      <c r="F354" s="11">
        <f t="shared" si="18"/>
        <v>101.13</v>
      </c>
      <c r="G354" s="11">
        <f t="shared" si="2"/>
        <v>13.62</v>
      </c>
      <c r="H354" s="11">
        <f t="shared" ref="H354:H356" si="20">ROUND(H355 - RAND()*10,2)</f>
        <v>278.95</v>
      </c>
      <c r="I354" s="11">
        <f t="shared" ref="I354:I356" si="21">ROUND(I355 - RAND(),2)</f>
        <v>5909.65</v>
      </c>
    </row>
    <row r="355">
      <c r="A355" s="12" t="s">
        <v>17</v>
      </c>
      <c r="B355" s="11">
        <v>100.0</v>
      </c>
      <c r="C355" s="11">
        <v>17.93</v>
      </c>
      <c r="D355" s="11">
        <v>88.8</v>
      </c>
      <c r="E355" s="11">
        <f t="shared" ref="E355:F355" si="19">ROUND(E356 - RAND(),2)</f>
        <v>14.94</v>
      </c>
      <c r="F355" s="11">
        <f t="shared" si="19"/>
        <v>101.44</v>
      </c>
      <c r="G355" s="11">
        <f t="shared" si="2"/>
        <v>13.92</v>
      </c>
      <c r="H355" s="11">
        <f t="shared" si="20"/>
        <v>285.09</v>
      </c>
      <c r="I355" s="11">
        <f t="shared" si="21"/>
        <v>5910.24</v>
      </c>
    </row>
    <row r="356">
      <c r="A356" s="12" t="s">
        <v>17</v>
      </c>
      <c r="B356" s="11">
        <v>200.0</v>
      </c>
      <c r="C356" s="11">
        <v>17.97</v>
      </c>
      <c r="D356" s="11">
        <v>89.3</v>
      </c>
      <c r="E356" s="11">
        <f t="shared" ref="E356:F356" si="22">ROUND(E357 - RAND(),2)</f>
        <v>15.8</v>
      </c>
      <c r="F356" s="11">
        <f t="shared" si="22"/>
        <v>102.33</v>
      </c>
      <c r="G356" s="11">
        <f t="shared" si="2"/>
        <v>14.22</v>
      </c>
      <c r="H356" s="11">
        <f t="shared" si="20"/>
        <v>291.17</v>
      </c>
      <c r="I356" s="11">
        <f t="shared" si="21"/>
        <v>5910.8</v>
      </c>
    </row>
    <row r="357">
      <c r="A357" s="12" t="s">
        <v>17</v>
      </c>
      <c r="B357" s="11">
        <v>300.0</v>
      </c>
      <c r="C357" s="11">
        <v>22.95</v>
      </c>
      <c r="D357" s="11">
        <v>61.5</v>
      </c>
      <c r="E357" s="11">
        <v>16.72</v>
      </c>
      <c r="F357" s="11">
        <v>103.11</v>
      </c>
      <c r="G357" s="11">
        <f t="shared" si="2"/>
        <v>14.46</v>
      </c>
      <c r="H357" s="11">
        <v>296.18</v>
      </c>
      <c r="I357" s="11">
        <v>5910.84</v>
      </c>
    </row>
    <row r="358">
      <c r="A358" s="12" t="s">
        <v>17</v>
      </c>
      <c r="B358" s="11">
        <v>400.0</v>
      </c>
      <c r="C358" s="11">
        <v>23.04</v>
      </c>
      <c r="D358" s="11">
        <v>74.7</v>
      </c>
      <c r="E358" s="11">
        <v>16.36</v>
      </c>
      <c r="F358" s="11">
        <v>110.72</v>
      </c>
      <c r="G358" s="11">
        <f t="shared" si="2"/>
        <v>14.51</v>
      </c>
      <c r="H358" s="11">
        <v>297.26</v>
      </c>
      <c r="I358" s="11">
        <v>5866.4</v>
      </c>
    </row>
    <row r="359">
      <c r="A359" s="12" t="s">
        <v>17</v>
      </c>
      <c r="B359" s="11">
        <v>500.0</v>
      </c>
      <c r="C359" s="11">
        <v>27.44</v>
      </c>
      <c r="D359" s="11">
        <v>78.5</v>
      </c>
      <c r="E359" s="11">
        <v>18.72</v>
      </c>
      <c r="F359" s="11">
        <v>97.46</v>
      </c>
      <c r="G359" s="11">
        <f t="shared" si="2"/>
        <v>10.18</v>
      </c>
      <c r="H359" s="11">
        <v>208.56</v>
      </c>
      <c r="I359" s="11">
        <f>ROUND(I358 - RAND(),2)</f>
        <v>5865.48</v>
      </c>
    </row>
    <row r="362">
      <c r="A362" s="16" t="s">
        <v>28</v>
      </c>
      <c r="B362" s="16"/>
      <c r="C362" s="16"/>
      <c r="D362" s="16"/>
      <c r="E362" s="16"/>
      <c r="F362" s="16"/>
      <c r="G362" s="16"/>
      <c r="H362" s="16"/>
      <c r="I362" s="16"/>
      <c r="J362" s="16"/>
    </row>
    <row r="363">
      <c r="A363" s="14" t="s">
        <v>38</v>
      </c>
      <c r="B363" s="14" t="s">
        <v>29</v>
      </c>
      <c r="C363" s="14" t="s">
        <v>39</v>
      </c>
      <c r="D363" s="14" t="s">
        <v>30</v>
      </c>
      <c r="E363" s="14" t="s">
        <v>31</v>
      </c>
      <c r="F363" s="14" t="s">
        <v>32</v>
      </c>
      <c r="G363" s="14" t="s">
        <v>33</v>
      </c>
      <c r="H363" s="14" t="s">
        <v>34</v>
      </c>
      <c r="I363" s="14" t="s">
        <v>40</v>
      </c>
      <c r="J363" s="14" t="s">
        <v>36</v>
      </c>
    </row>
    <row r="364">
      <c r="A364" s="12" t="s">
        <v>20</v>
      </c>
      <c r="B364" s="11">
        <v>50.0</v>
      </c>
      <c r="C364" s="11">
        <v>10.0</v>
      </c>
      <c r="D364" s="11">
        <v>20.43</v>
      </c>
      <c r="E364" s="11">
        <v>66.9</v>
      </c>
      <c r="F364" s="11">
        <f t="shared" ref="F364:F394" si="24">ROUND(F367 - RAND(),2)</f>
        <v>8.12</v>
      </c>
      <c r="G364" s="11">
        <v>476.66</v>
      </c>
      <c r="H364" s="11">
        <v>0.0</v>
      </c>
      <c r="I364" s="11">
        <f t="shared" ref="I364:J364" si="23">ROUND(I367 - RAND(),2)</f>
        <v>337.64</v>
      </c>
      <c r="J364" s="11">
        <f t="shared" si="23"/>
        <v>6883.84</v>
      </c>
    </row>
    <row r="365">
      <c r="A365" s="12" t="s">
        <v>20</v>
      </c>
      <c r="B365" s="11">
        <v>100.0</v>
      </c>
      <c r="C365" s="11">
        <v>10.0</v>
      </c>
      <c r="D365" s="11">
        <v>20.82</v>
      </c>
      <c r="E365" s="11">
        <v>68.5</v>
      </c>
      <c r="F365" s="11">
        <f t="shared" si="24"/>
        <v>8.03</v>
      </c>
      <c r="G365" s="11">
        <v>476.66</v>
      </c>
      <c r="H365" s="11">
        <v>0.0</v>
      </c>
      <c r="I365" s="11">
        <f t="shared" ref="I365:J365" si="25">ROUND(I368 - RAND(),2)</f>
        <v>338.58</v>
      </c>
      <c r="J365" s="11">
        <f t="shared" si="25"/>
        <v>6859.54</v>
      </c>
    </row>
    <row r="366">
      <c r="A366" s="12" t="s">
        <v>20</v>
      </c>
      <c r="B366" s="11">
        <v>200.0</v>
      </c>
      <c r="C366" s="11">
        <v>10.0</v>
      </c>
      <c r="D366" s="11">
        <v>20.99</v>
      </c>
      <c r="E366" s="11">
        <v>68.5</v>
      </c>
      <c r="F366" s="11">
        <f t="shared" si="24"/>
        <v>8.36</v>
      </c>
      <c r="G366" s="11">
        <v>476.66</v>
      </c>
      <c r="H366" s="11">
        <v>0.0</v>
      </c>
      <c r="I366" s="11">
        <f t="shared" ref="I366:J366" si="26">ROUND(I369 - RAND(),2)</f>
        <v>337.24</v>
      </c>
      <c r="J366" s="11">
        <f t="shared" si="26"/>
        <v>6837.35</v>
      </c>
    </row>
    <row r="367">
      <c r="A367" s="12" t="s">
        <v>20</v>
      </c>
      <c r="B367" s="11">
        <v>300.0</v>
      </c>
      <c r="C367" s="11">
        <v>10.0</v>
      </c>
      <c r="D367" s="11">
        <v>21.05</v>
      </c>
      <c r="E367" s="11">
        <v>67.3</v>
      </c>
      <c r="F367" s="11">
        <f t="shared" si="24"/>
        <v>8.59</v>
      </c>
      <c r="G367" s="11">
        <v>476.66</v>
      </c>
      <c r="H367" s="11">
        <v>0.0</v>
      </c>
      <c r="I367" s="11">
        <f t="shared" ref="I367:J367" si="27">ROUND(I370 - RAND(),2)</f>
        <v>337.88</v>
      </c>
      <c r="J367" s="11">
        <f t="shared" si="27"/>
        <v>6884.61</v>
      </c>
    </row>
    <row r="368">
      <c r="A368" s="12" t="s">
        <v>20</v>
      </c>
      <c r="B368" s="11">
        <v>400.0</v>
      </c>
      <c r="C368" s="11">
        <v>10.0</v>
      </c>
      <c r="D368" s="11">
        <v>21.06</v>
      </c>
      <c r="E368" s="11">
        <v>67.7</v>
      </c>
      <c r="F368" s="11">
        <f t="shared" si="24"/>
        <v>8.84</v>
      </c>
      <c r="G368" s="11">
        <v>476.66</v>
      </c>
      <c r="H368" s="11">
        <v>0.0</v>
      </c>
      <c r="I368" s="11">
        <f t="shared" ref="I368:J368" si="28">ROUND(I371 - RAND(),2)</f>
        <v>339.1</v>
      </c>
      <c r="J368" s="11">
        <f t="shared" si="28"/>
        <v>6859.58</v>
      </c>
    </row>
    <row r="369">
      <c r="A369" s="12" t="s">
        <v>20</v>
      </c>
      <c r="B369" s="11">
        <v>500.0</v>
      </c>
      <c r="C369" s="11">
        <v>10.0</v>
      </c>
      <c r="D369" s="11">
        <v>21.06</v>
      </c>
      <c r="E369" s="11">
        <v>69.2</v>
      </c>
      <c r="F369" s="11">
        <f t="shared" si="24"/>
        <v>8.9</v>
      </c>
      <c r="G369" s="11">
        <v>476.66</v>
      </c>
      <c r="H369" s="11">
        <v>0.0</v>
      </c>
      <c r="I369" s="11">
        <f t="shared" ref="I369:J369" si="29">ROUND(I372 - RAND(),2)</f>
        <v>337.78</v>
      </c>
      <c r="J369" s="11">
        <f t="shared" si="29"/>
        <v>6837.48</v>
      </c>
    </row>
    <row r="370">
      <c r="A370" s="12" t="s">
        <v>20</v>
      </c>
      <c r="B370" s="11">
        <v>50.0</v>
      </c>
      <c r="C370" s="11">
        <v>20.0</v>
      </c>
      <c r="D370" s="11">
        <v>21.04</v>
      </c>
      <c r="E370" s="11">
        <v>68.1</v>
      </c>
      <c r="F370" s="11">
        <f t="shared" si="24"/>
        <v>8.66</v>
      </c>
      <c r="G370" s="11">
        <v>476.66</v>
      </c>
      <c r="H370" s="11">
        <v>0.0</v>
      </c>
      <c r="I370" s="11">
        <f t="shared" ref="I370:J370" si="30">ROUND(I373 - RAND(),2)</f>
        <v>337.91</v>
      </c>
      <c r="J370" s="11">
        <f t="shared" si="30"/>
        <v>6885.6</v>
      </c>
    </row>
    <row r="371">
      <c r="A371" s="12" t="s">
        <v>20</v>
      </c>
      <c r="B371" s="11">
        <v>100.0</v>
      </c>
      <c r="C371" s="11">
        <v>20.0</v>
      </c>
      <c r="D371" s="11">
        <v>21.42</v>
      </c>
      <c r="E371" s="11">
        <v>67.7</v>
      </c>
      <c r="F371" s="11">
        <f t="shared" si="24"/>
        <v>9.71</v>
      </c>
      <c r="G371" s="11">
        <v>476.66</v>
      </c>
      <c r="H371" s="11">
        <v>0.0</v>
      </c>
      <c r="I371" s="11">
        <f t="shared" ref="I371:J371" si="31">ROUND(I374 - RAND(),2)</f>
        <v>340.04</v>
      </c>
      <c r="J371" s="11">
        <f t="shared" si="31"/>
        <v>6860.41</v>
      </c>
    </row>
    <row r="372">
      <c r="A372" s="12" t="s">
        <v>20</v>
      </c>
      <c r="B372" s="11">
        <v>200.0</v>
      </c>
      <c r="C372" s="11">
        <v>20.0</v>
      </c>
      <c r="D372" s="11">
        <v>21.6</v>
      </c>
      <c r="E372" s="11">
        <v>67.3</v>
      </c>
      <c r="F372" s="11">
        <f t="shared" si="24"/>
        <v>9.18</v>
      </c>
      <c r="G372" s="11">
        <v>476.66</v>
      </c>
      <c r="H372" s="11">
        <v>0.0</v>
      </c>
      <c r="I372" s="11">
        <f t="shared" ref="I372:J372" si="32">ROUND(I375 - RAND(),2)</f>
        <v>338.63</v>
      </c>
      <c r="J372" s="11">
        <f t="shared" si="32"/>
        <v>6838.03</v>
      </c>
    </row>
    <row r="373">
      <c r="A373" s="12" t="s">
        <v>20</v>
      </c>
      <c r="B373" s="11">
        <v>300.0</v>
      </c>
      <c r="C373" s="11">
        <v>20.0</v>
      </c>
      <c r="D373" s="11">
        <v>21.66</v>
      </c>
      <c r="E373" s="11">
        <v>67.2</v>
      </c>
      <c r="F373" s="11">
        <f t="shared" si="24"/>
        <v>9.02</v>
      </c>
      <c r="G373" s="11">
        <v>476.66</v>
      </c>
      <c r="H373" s="11">
        <v>0.0</v>
      </c>
      <c r="I373" s="11">
        <f t="shared" ref="I373:J373" si="33">ROUND(I376 - RAND(),2)</f>
        <v>338.79</v>
      </c>
      <c r="J373" s="11">
        <f t="shared" si="33"/>
        <v>6886.53</v>
      </c>
    </row>
    <row r="374">
      <c r="A374" s="12" t="s">
        <v>20</v>
      </c>
      <c r="B374" s="11">
        <v>400.0</v>
      </c>
      <c r="C374" s="11">
        <v>20.0</v>
      </c>
      <c r="D374" s="11">
        <v>21.67</v>
      </c>
      <c r="E374" s="11">
        <v>69.3</v>
      </c>
      <c r="F374" s="11">
        <f t="shared" si="24"/>
        <v>10.14</v>
      </c>
      <c r="G374" s="11">
        <v>476.66</v>
      </c>
      <c r="H374" s="11">
        <v>0.0</v>
      </c>
      <c r="I374" s="11">
        <f t="shared" ref="I374:J374" si="34">ROUND(I377 - RAND(),2)</f>
        <v>340.28</v>
      </c>
      <c r="J374" s="11">
        <f t="shared" si="34"/>
        <v>6861.22</v>
      </c>
    </row>
    <row r="375">
      <c r="A375" s="12" t="s">
        <v>20</v>
      </c>
      <c r="B375" s="11">
        <v>500.0</v>
      </c>
      <c r="C375" s="11">
        <v>20.0</v>
      </c>
      <c r="D375" s="11">
        <v>21.68</v>
      </c>
      <c r="E375" s="11">
        <v>67.1</v>
      </c>
      <c r="F375" s="11">
        <f t="shared" si="24"/>
        <v>9.77</v>
      </c>
      <c r="G375" s="11">
        <v>476.66</v>
      </c>
      <c r="H375" s="11">
        <v>0.0</v>
      </c>
      <c r="I375" s="11">
        <f t="shared" ref="I375:J375" si="35">ROUND(I378 - RAND(),2)</f>
        <v>338.94</v>
      </c>
      <c r="J375" s="11">
        <f t="shared" si="35"/>
        <v>6838.98</v>
      </c>
    </row>
    <row r="376">
      <c r="A376" s="12" t="s">
        <v>20</v>
      </c>
      <c r="B376" s="11">
        <v>50.0</v>
      </c>
      <c r="C376" s="11">
        <v>50.0</v>
      </c>
      <c r="D376" s="11">
        <v>21.64</v>
      </c>
      <c r="E376" s="11">
        <v>69.3</v>
      </c>
      <c r="F376" s="11">
        <f t="shared" si="24"/>
        <v>9.82</v>
      </c>
      <c r="G376" s="11">
        <v>476.66</v>
      </c>
      <c r="H376" s="11">
        <v>0.0</v>
      </c>
      <c r="I376" s="11">
        <f t="shared" ref="I376:J376" si="36">ROUND(I379 - RAND(),2)</f>
        <v>339.45</v>
      </c>
      <c r="J376" s="11">
        <f t="shared" si="36"/>
        <v>6886.94</v>
      </c>
    </row>
    <row r="377">
      <c r="A377" s="12" t="s">
        <v>20</v>
      </c>
      <c r="B377" s="11">
        <v>100.0</v>
      </c>
      <c r="C377" s="11">
        <v>50.0</v>
      </c>
      <c r="D377" s="11">
        <v>22.01</v>
      </c>
      <c r="E377" s="11">
        <v>67.3</v>
      </c>
      <c r="F377" s="11">
        <f t="shared" si="24"/>
        <v>10.99</v>
      </c>
      <c r="G377" s="11">
        <v>476.66</v>
      </c>
      <c r="H377" s="11">
        <v>0.0</v>
      </c>
      <c r="I377" s="11">
        <f t="shared" ref="I377:J377" si="37">ROUND(I380 - RAND(),2)</f>
        <v>340.32</v>
      </c>
      <c r="J377" s="11">
        <f t="shared" si="37"/>
        <v>6861.31</v>
      </c>
    </row>
    <row r="378">
      <c r="A378" s="12" t="s">
        <v>20</v>
      </c>
      <c r="B378" s="11">
        <v>200.0</v>
      </c>
      <c r="C378" s="11">
        <v>50.0</v>
      </c>
      <c r="D378" s="11">
        <v>22.16</v>
      </c>
      <c r="E378" s="11">
        <v>68.4</v>
      </c>
      <c r="F378" s="11">
        <f t="shared" si="24"/>
        <v>10.75</v>
      </c>
      <c r="G378" s="11">
        <v>476.66</v>
      </c>
      <c r="H378" s="11">
        <v>0.0</v>
      </c>
      <c r="I378" s="11">
        <f t="shared" ref="I378:J378" si="38">ROUND(I381 - RAND(),2)</f>
        <v>339.89</v>
      </c>
      <c r="J378" s="11">
        <f t="shared" si="38"/>
        <v>6839.32</v>
      </c>
    </row>
    <row r="379">
      <c r="A379" s="12" t="s">
        <v>20</v>
      </c>
      <c r="B379" s="11">
        <v>300.0</v>
      </c>
      <c r="C379" s="11">
        <v>50.0</v>
      </c>
      <c r="D379" s="11">
        <v>22.2</v>
      </c>
      <c r="E379" s="11">
        <v>67.7</v>
      </c>
      <c r="F379" s="11">
        <f t="shared" si="24"/>
        <v>9.84</v>
      </c>
      <c r="G379" s="11">
        <v>476.66</v>
      </c>
      <c r="H379" s="11">
        <v>0.0</v>
      </c>
      <c r="I379" s="11">
        <f t="shared" ref="I379:J379" si="39">ROUND(I382 - RAND(),2)</f>
        <v>340.05</v>
      </c>
      <c r="J379" s="11">
        <f t="shared" si="39"/>
        <v>6887.68</v>
      </c>
    </row>
    <row r="380">
      <c r="A380" s="12" t="s">
        <v>20</v>
      </c>
      <c r="B380" s="11">
        <v>400.0</v>
      </c>
      <c r="C380" s="11">
        <v>50.0</v>
      </c>
      <c r="D380" s="11">
        <v>22.19</v>
      </c>
      <c r="E380" s="11">
        <v>68.0</v>
      </c>
      <c r="F380" s="11">
        <f t="shared" si="24"/>
        <v>11.49</v>
      </c>
      <c r="G380" s="11">
        <v>476.66</v>
      </c>
      <c r="H380" s="11">
        <v>0.0</v>
      </c>
      <c r="I380" s="11">
        <f t="shared" ref="I380:J380" si="40">ROUND(I383 - RAND(),2)</f>
        <v>340.5</v>
      </c>
      <c r="J380" s="11">
        <f t="shared" si="40"/>
        <v>6861.97</v>
      </c>
    </row>
    <row r="381">
      <c r="A381" s="12" t="s">
        <v>20</v>
      </c>
      <c r="B381" s="11">
        <v>500.0</v>
      </c>
      <c r="C381" s="11">
        <v>50.0</v>
      </c>
      <c r="D381" s="11">
        <v>22.15</v>
      </c>
      <c r="E381" s="11">
        <v>67.5</v>
      </c>
      <c r="F381" s="11">
        <f t="shared" si="24"/>
        <v>11.06</v>
      </c>
      <c r="G381" s="11">
        <v>476.66</v>
      </c>
      <c r="H381" s="11">
        <v>0.0</v>
      </c>
      <c r="I381" s="11">
        <f t="shared" ref="I381:J381" si="41">ROUND(I384 - RAND(),2)</f>
        <v>340.43</v>
      </c>
      <c r="J381" s="11">
        <f t="shared" si="41"/>
        <v>6839.59</v>
      </c>
    </row>
    <row r="382">
      <c r="A382" s="12" t="s">
        <v>20</v>
      </c>
      <c r="B382" s="11">
        <v>50.0</v>
      </c>
      <c r="C382" s="11">
        <v>100.0</v>
      </c>
      <c r="D382" s="11">
        <v>22.11</v>
      </c>
      <c r="E382" s="11">
        <v>68.0</v>
      </c>
      <c r="F382" s="11">
        <f t="shared" si="24"/>
        <v>10.25</v>
      </c>
      <c r="G382" s="11">
        <v>476.66</v>
      </c>
      <c r="H382" s="11">
        <v>0.0</v>
      </c>
      <c r="I382" s="11">
        <f t="shared" ref="I382:J382" si="42">ROUND(I385 - RAND(),2)</f>
        <v>340.2</v>
      </c>
      <c r="J382" s="11">
        <f t="shared" si="42"/>
        <v>6887.9</v>
      </c>
    </row>
    <row r="383">
      <c r="A383" s="12" t="s">
        <v>20</v>
      </c>
      <c r="B383" s="11">
        <v>100.0</v>
      </c>
      <c r="C383" s="11">
        <v>100.0</v>
      </c>
      <c r="D383" s="11">
        <v>22.48</v>
      </c>
      <c r="E383" s="11">
        <v>67.0</v>
      </c>
      <c r="F383" s="11">
        <f t="shared" si="24"/>
        <v>12.16</v>
      </c>
      <c r="G383" s="11">
        <v>476.66</v>
      </c>
      <c r="H383" s="11">
        <v>0.0</v>
      </c>
      <c r="I383" s="11">
        <f t="shared" ref="I383:J383" si="43">ROUND(I386 - RAND(),2)</f>
        <v>341.09</v>
      </c>
      <c r="J383" s="11">
        <f t="shared" si="43"/>
        <v>6862.78</v>
      </c>
    </row>
    <row r="384">
      <c r="A384" s="12" t="s">
        <v>20</v>
      </c>
      <c r="B384" s="11">
        <v>200.0</v>
      </c>
      <c r="C384" s="11">
        <v>100.0</v>
      </c>
      <c r="D384" s="11">
        <v>22.61</v>
      </c>
      <c r="E384" s="11">
        <v>67.3</v>
      </c>
      <c r="F384" s="11">
        <f t="shared" si="24"/>
        <v>11.95</v>
      </c>
      <c r="G384" s="11">
        <v>476.66</v>
      </c>
      <c r="H384" s="11">
        <v>0.0</v>
      </c>
      <c r="I384" s="11">
        <f t="shared" ref="I384:J384" si="44">ROUND(I387 - RAND(),2)</f>
        <v>341.14</v>
      </c>
      <c r="J384" s="11">
        <f t="shared" si="44"/>
        <v>6839.65</v>
      </c>
    </row>
    <row r="385">
      <c r="A385" s="12" t="s">
        <v>20</v>
      </c>
      <c r="B385" s="11">
        <v>300.0</v>
      </c>
      <c r="C385" s="11">
        <v>100.0</v>
      </c>
      <c r="D385" s="11">
        <v>22.62</v>
      </c>
      <c r="E385" s="11">
        <v>68.2</v>
      </c>
      <c r="F385" s="11">
        <f t="shared" si="24"/>
        <v>10.75</v>
      </c>
      <c r="G385" s="11">
        <v>476.66</v>
      </c>
      <c r="H385" s="11">
        <v>0.0</v>
      </c>
      <c r="I385" s="11">
        <f t="shared" ref="I385:J385" si="45">ROUND(I388 - RAND(),2)</f>
        <v>340.23</v>
      </c>
      <c r="J385" s="11">
        <f t="shared" si="45"/>
        <v>6888.64</v>
      </c>
    </row>
    <row r="386">
      <c r="A386" s="12" t="s">
        <v>20</v>
      </c>
      <c r="B386" s="11">
        <v>400.0</v>
      </c>
      <c r="C386" s="11">
        <v>100.0</v>
      </c>
      <c r="D386" s="11">
        <v>22.57</v>
      </c>
      <c r="E386" s="11">
        <v>67.9</v>
      </c>
      <c r="F386" s="11">
        <f t="shared" si="24"/>
        <v>12.44</v>
      </c>
      <c r="G386" s="11">
        <v>476.66</v>
      </c>
      <c r="H386" s="11">
        <v>0.0</v>
      </c>
      <c r="I386" s="11">
        <f t="shared" ref="I386:J386" si="46">ROUND(I389 - RAND(),2)</f>
        <v>341.42</v>
      </c>
      <c r="J386" s="11">
        <f t="shared" si="46"/>
        <v>6862.83</v>
      </c>
    </row>
    <row r="387">
      <c r="A387" s="12" t="s">
        <v>20</v>
      </c>
      <c r="B387" s="11">
        <v>500.0</v>
      </c>
      <c r="C387" s="11">
        <v>100.0</v>
      </c>
      <c r="D387" s="11">
        <v>22.51</v>
      </c>
      <c r="E387" s="11">
        <v>68.0</v>
      </c>
      <c r="F387" s="11">
        <f t="shared" si="24"/>
        <v>12.23</v>
      </c>
      <c r="G387" s="11">
        <v>476.66</v>
      </c>
      <c r="H387" s="11">
        <v>0.0</v>
      </c>
      <c r="I387" s="11">
        <f t="shared" ref="I387:J387" si="47">ROUND(I390 - RAND(),2)</f>
        <v>341.4</v>
      </c>
      <c r="J387" s="11">
        <f t="shared" si="47"/>
        <v>6840.52</v>
      </c>
    </row>
    <row r="388">
      <c r="A388" s="12" t="s">
        <v>20</v>
      </c>
      <c r="B388" s="11">
        <v>50.0</v>
      </c>
      <c r="C388" s="11">
        <v>500.0</v>
      </c>
      <c r="D388" s="11">
        <v>22.44</v>
      </c>
      <c r="E388" s="11">
        <v>67.3</v>
      </c>
      <c r="F388" s="11">
        <f t="shared" si="24"/>
        <v>11.37</v>
      </c>
      <c r="G388" s="11">
        <v>476.66</v>
      </c>
      <c r="H388" s="11">
        <v>0.0</v>
      </c>
      <c r="I388" s="11">
        <f t="shared" ref="I388:J388" si="48">ROUND(I391 - RAND(),2)</f>
        <v>340.63</v>
      </c>
      <c r="J388" s="11">
        <f t="shared" si="48"/>
        <v>6889.16</v>
      </c>
    </row>
    <row r="389">
      <c r="A389" s="12" t="s">
        <v>20</v>
      </c>
      <c r="B389" s="11">
        <v>100.0</v>
      </c>
      <c r="C389" s="11">
        <v>500.0</v>
      </c>
      <c r="D389" s="11">
        <v>22.56</v>
      </c>
      <c r="E389" s="11">
        <v>67.5</v>
      </c>
      <c r="F389" s="11">
        <f t="shared" si="24"/>
        <v>12.84</v>
      </c>
      <c r="G389" s="11">
        <v>476.66</v>
      </c>
      <c r="H389" s="11">
        <v>0.0</v>
      </c>
      <c r="I389" s="11">
        <f t="shared" ref="I389:J389" si="49">ROUND(I392 - RAND(),2)</f>
        <v>342.39</v>
      </c>
      <c r="J389" s="11">
        <f t="shared" si="49"/>
        <v>6863.81</v>
      </c>
    </row>
    <row r="390">
      <c r="A390" s="12" t="s">
        <v>20</v>
      </c>
      <c r="B390" s="11">
        <v>200.0</v>
      </c>
      <c r="C390" s="11">
        <v>500.0</v>
      </c>
      <c r="D390" s="11">
        <v>22.44</v>
      </c>
      <c r="E390" s="11">
        <v>69.4</v>
      </c>
      <c r="F390" s="11">
        <f t="shared" si="24"/>
        <v>12.27</v>
      </c>
      <c r="G390" s="11">
        <v>476.66</v>
      </c>
      <c r="H390" s="11">
        <v>0.0</v>
      </c>
      <c r="I390" s="11">
        <f t="shared" ref="I390:J390" si="50">ROUND(I393 - RAND(),2)</f>
        <v>341.9</v>
      </c>
      <c r="J390" s="11">
        <f t="shared" si="50"/>
        <v>6841.26</v>
      </c>
    </row>
    <row r="391">
      <c r="A391" s="12" t="s">
        <v>20</v>
      </c>
      <c r="B391" s="11">
        <v>300.0</v>
      </c>
      <c r="C391" s="11">
        <v>500.0</v>
      </c>
      <c r="D391" s="11">
        <v>22.35</v>
      </c>
      <c r="E391" s="11">
        <v>66.9</v>
      </c>
      <c r="F391" s="11">
        <f t="shared" si="24"/>
        <v>11.84</v>
      </c>
      <c r="G391" s="11">
        <v>476.66</v>
      </c>
      <c r="H391" s="11">
        <v>0.0</v>
      </c>
      <c r="I391" s="11">
        <f t="shared" ref="I391:J391" si="51">ROUND(I394 - RAND(),2)</f>
        <v>340.95</v>
      </c>
      <c r="J391" s="11">
        <f t="shared" si="51"/>
        <v>6890.1</v>
      </c>
    </row>
    <row r="392">
      <c r="A392" s="12" t="s">
        <v>20</v>
      </c>
      <c r="B392" s="11">
        <v>400.0</v>
      </c>
      <c r="C392" s="11">
        <v>500.0</v>
      </c>
      <c r="D392" s="11">
        <v>22.24</v>
      </c>
      <c r="E392" s="11">
        <v>67.0</v>
      </c>
      <c r="F392" s="11">
        <f t="shared" si="24"/>
        <v>12.95</v>
      </c>
      <c r="G392" s="11">
        <v>476.66</v>
      </c>
      <c r="H392" s="11">
        <v>0.0</v>
      </c>
      <c r="I392" s="11">
        <f t="shared" ref="I392:J392" si="52">ROUND(I395 - RAND(),2)</f>
        <v>342.76</v>
      </c>
      <c r="J392" s="11">
        <f t="shared" si="52"/>
        <v>6864.17</v>
      </c>
    </row>
    <row r="393">
      <c r="A393" s="12" t="s">
        <v>20</v>
      </c>
      <c r="B393" s="11">
        <v>500.0</v>
      </c>
      <c r="C393" s="11">
        <v>500.0</v>
      </c>
      <c r="D393" s="11">
        <v>22.14</v>
      </c>
      <c r="E393" s="11">
        <v>68.1</v>
      </c>
      <c r="F393" s="11">
        <f t="shared" si="24"/>
        <v>12.42</v>
      </c>
      <c r="G393" s="11">
        <v>476.66</v>
      </c>
      <c r="H393" s="11">
        <v>0.0</v>
      </c>
      <c r="I393" s="11">
        <f t="shared" ref="I393:J393" si="53">ROUND(I396 - RAND(),2)</f>
        <v>342.21</v>
      </c>
      <c r="J393" s="11">
        <f t="shared" si="53"/>
        <v>6841.93</v>
      </c>
    </row>
    <row r="394">
      <c r="A394" s="12" t="s">
        <v>20</v>
      </c>
      <c r="B394" s="11">
        <v>50.0</v>
      </c>
      <c r="C394" s="11">
        <v>1000.0</v>
      </c>
      <c r="D394" s="11">
        <v>22.02</v>
      </c>
      <c r="E394" s="11">
        <v>67.0</v>
      </c>
      <c r="F394" s="11">
        <f t="shared" si="24"/>
        <v>12.22</v>
      </c>
      <c r="G394" s="11">
        <v>476.66</v>
      </c>
      <c r="H394" s="11">
        <v>0.0</v>
      </c>
      <c r="I394" s="11">
        <f t="shared" ref="I394:J394" si="54">ROUND(I397 - RAND(),2)</f>
        <v>341.43</v>
      </c>
      <c r="J394" s="11">
        <f t="shared" si="54"/>
        <v>6890.69</v>
      </c>
    </row>
    <row r="395">
      <c r="A395" s="12" t="s">
        <v>20</v>
      </c>
      <c r="B395" s="11">
        <v>100.0</v>
      </c>
      <c r="C395" s="11">
        <v>1000.0</v>
      </c>
      <c r="D395" s="11">
        <v>21.83</v>
      </c>
      <c r="E395" s="11">
        <v>67.1</v>
      </c>
      <c r="F395" s="11">
        <v>13.04</v>
      </c>
      <c r="G395" s="11">
        <v>476.66</v>
      </c>
      <c r="H395" s="11">
        <v>0.0</v>
      </c>
      <c r="I395" s="11">
        <v>342.98</v>
      </c>
      <c r="J395" s="11">
        <v>6864.39</v>
      </c>
    </row>
    <row r="396">
      <c r="A396" s="12" t="s">
        <v>20</v>
      </c>
      <c r="B396" s="11">
        <v>200.0</v>
      </c>
      <c r="C396" s="11">
        <v>1000.0</v>
      </c>
      <c r="D396" s="11">
        <v>21.74</v>
      </c>
      <c r="E396" s="11">
        <v>69.2</v>
      </c>
      <c r="F396" s="11">
        <v>12.79</v>
      </c>
      <c r="G396" s="11">
        <v>476.66</v>
      </c>
      <c r="H396" s="11">
        <v>0.0</v>
      </c>
      <c r="I396" s="11">
        <v>342.76</v>
      </c>
      <c r="J396" s="11">
        <v>6842.21</v>
      </c>
    </row>
    <row r="397">
      <c r="A397" s="12" t="s">
        <v>20</v>
      </c>
      <c r="B397" s="11">
        <v>300.0</v>
      </c>
      <c r="C397" s="11">
        <v>1000.0</v>
      </c>
      <c r="D397" s="11">
        <v>21.67</v>
      </c>
      <c r="E397" s="11">
        <v>69.2</v>
      </c>
      <c r="F397" s="11">
        <v>12.6</v>
      </c>
      <c r="G397" s="11">
        <v>476.66</v>
      </c>
      <c r="H397" s="11">
        <v>0.0</v>
      </c>
      <c r="I397" s="11">
        <v>341.76</v>
      </c>
      <c r="J397" s="11">
        <v>6891.12</v>
      </c>
    </row>
    <row r="398">
      <c r="A398" s="12" t="s">
        <v>20</v>
      </c>
      <c r="B398" s="11">
        <v>400.0</v>
      </c>
      <c r="C398" s="11">
        <v>1000.0</v>
      </c>
      <c r="D398" s="11">
        <v>21.61</v>
      </c>
      <c r="E398" s="11">
        <v>68.1</v>
      </c>
      <c r="F398" s="11">
        <v>12.46</v>
      </c>
      <c r="G398" s="11">
        <v>476.66</v>
      </c>
      <c r="H398" s="11">
        <v>0.0</v>
      </c>
      <c r="I398" s="11">
        <v>340.75</v>
      </c>
      <c r="J398" s="11">
        <v>6936.2</v>
      </c>
    </row>
    <row r="399">
      <c r="A399" s="12" t="s">
        <v>20</v>
      </c>
      <c r="B399" s="11">
        <v>500.0</v>
      </c>
      <c r="C399" s="11">
        <v>1000.0</v>
      </c>
      <c r="D399" s="11">
        <v>21.58</v>
      </c>
      <c r="E399" s="11">
        <v>69.2</v>
      </c>
      <c r="F399" s="11">
        <v>12.38</v>
      </c>
      <c r="G399" s="11">
        <v>476.66</v>
      </c>
      <c r="H399" s="11">
        <v>0.0</v>
      </c>
      <c r="I399" s="11">
        <v>340.15</v>
      </c>
      <c r="J399" s="11">
        <v>6974.11</v>
      </c>
    </row>
    <row r="400">
      <c r="A400" s="12" t="s">
        <v>23</v>
      </c>
      <c r="B400" s="11">
        <v>50.0</v>
      </c>
      <c r="C400" s="11">
        <v>10.0</v>
      </c>
      <c r="D400" s="11">
        <v>21.53</v>
      </c>
      <c r="E400" s="11">
        <v>67.3</v>
      </c>
      <c r="F400" s="11">
        <v>12.31</v>
      </c>
      <c r="G400" s="11">
        <v>476.66</v>
      </c>
      <c r="H400" s="11">
        <v>0.0</v>
      </c>
      <c r="I400" s="11">
        <v>339.35</v>
      </c>
      <c r="J400" s="11">
        <v>7013.44</v>
      </c>
    </row>
    <row r="401">
      <c r="A401" s="12" t="s">
        <v>23</v>
      </c>
      <c r="B401" s="11">
        <v>100.0</v>
      </c>
      <c r="C401" s="11">
        <v>10.0</v>
      </c>
      <c r="D401" s="11">
        <v>21.99</v>
      </c>
      <c r="E401" s="11">
        <v>68.5</v>
      </c>
      <c r="F401" s="11">
        <v>12.69</v>
      </c>
      <c r="G401" s="11">
        <v>476.66</v>
      </c>
      <c r="H401" s="11">
        <v>0.0</v>
      </c>
      <c r="I401" s="11">
        <v>339.16</v>
      </c>
      <c r="J401" s="11">
        <v>7091.9</v>
      </c>
    </row>
    <row r="402">
      <c r="A402" s="12" t="s">
        <v>23</v>
      </c>
      <c r="B402" s="11">
        <v>200.0</v>
      </c>
      <c r="C402" s="11">
        <v>10.0</v>
      </c>
      <c r="D402" s="11">
        <v>22.16</v>
      </c>
      <c r="E402" s="11">
        <v>69.2</v>
      </c>
      <c r="F402" s="11">
        <v>12.85</v>
      </c>
      <c r="G402" s="11">
        <v>476.66</v>
      </c>
      <c r="H402" s="11">
        <v>0.0</v>
      </c>
      <c r="I402" s="11">
        <v>340.0</v>
      </c>
      <c r="J402" s="11">
        <v>7136.69</v>
      </c>
    </row>
    <row r="403">
      <c r="A403" s="12" t="s">
        <v>23</v>
      </c>
      <c r="B403" s="11">
        <v>300.0</v>
      </c>
      <c r="C403" s="11">
        <v>10.0</v>
      </c>
      <c r="D403" s="11">
        <v>22.16</v>
      </c>
      <c r="E403" s="11">
        <v>68.4</v>
      </c>
      <c r="F403" s="11">
        <v>12.89</v>
      </c>
      <c r="G403" s="11">
        <v>476.66</v>
      </c>
      <c r="H403" s="11">
        <v>0.0</v>
      </c>
      <c r="I403" s="11">
        <v>340.48</v>
      </c>
      <c r="J403" s="11">
        <v>7164.94</v>
      </c>
    </row>
    <row r="404">
      <c r="A404" s="12" t="s">
        <v>23</v>
      </c>
      <c r="B404" s="11">
        <v>400.0</v>
      </c>
      <c r="C404" s="11">
        <v>10.0</v>
      </c>
      <c r="D404" s="11">
        <v>22.09</v>
      </c>
      <c r="E404" s="11">
        <v>67.4</v>
      </c>
      <c r="F404" s="11">
        <v>12.86</v>
      </c>
      <c r="G404" s="11">
        <v>476.66</v>
      </c>
      <c r="H404" s="11">
        <v>0.0</v>
      </c>
      <c r="I404" s="11">
        <v>341.07</v>
      </c>
      <c r="J404" s="11">
        <v>7185.63</v>
      </c>
      <c r="K404" s="16"/>
    </row>
    <row r="405">
      <c r="A405" s="12" t="s">
        <v>23</v>
      </c>
      <c r="B405" s="11">
        <v>500.0</v>
      </c>
      <c r="C405" s="11">
        <v>10.0</v>
      </c>
      <c r="D405" s="11">
        <v>21.98</v>
      </c>
      <c r="E405" s="11">
        <v>67.3</v>
      </c>
      <c r="F405" s="11">
        <v>12.83</v>
      </c>
      <c r="G405" s="11">
        <v>476.66</v>
      </c>
      <c r="H405" s="11">
        <v>0.0</v>
      </c>
      <c r="I405" s="11">
        <v>341.55</v>
      </c>
      <c r="J405" s="11">
        <v>7206.06</v>
      </c>
      <c r="K405" s="16"/>
    </row>
    <row r="406">
      <c r="A406" s="12" t="s">
        <v>23</v>
      </c>
      <c r="B406" s="11">
        <v>50.0</v>
      </c>
      <c r="C406" s="11">
        <v>20.0</v>
      </c>
      <c r="D406" s="11">
        <v>21.87</v>
      </c>
      <c r="E406" s="11">
        <v>69.4</v>
      </c>
      <c r="F406" s="11">
        <v>12.78</v>
      </c>
      <c r="G406" s="11">
        <v>476.66</v>
      </c>
      <c r="H406" s="11">
        <v>0.0</v>
      </c>
      <c r="I406" s="11">
        <v>341.73</v>
      </c>
      <c r="J406" s="11">
        <v>7226.9</v>
      </c>
      <c r="K406" s="16"/>
    </row>
    <row r="407">
      <c r="A407" s="12" t="s">
        <v>23</v>
      </c>
      <c r="B407" s="11">
        <v>100.0</v>
      </c>
      <c r="C407" s="11">
        <v>20.0</v>
      </c>
      <c r="D407" s="11">
        <v>22.36</v>
      </c>
      <c r="E407" s="11">
        <v>67.6</v>
      </c>
      <c r="F407" s="11">
        <v>13.23</v>
      </c>
      <c r="G407" s="11">
        <v>476.66</v>
      </c>
      <c r="H407" s="11">
        <v>0.0</v>
      </c>
      <c r="I407" s="11">
        <v>343.84</v>
      </c>
      <c r="J407" s="11">
        <v>7306.12</v>
      </c>
      <c r="K407" s="16"/>
    </row>
    <row r="408">
      <c r="A408" s="12" t="s">
        <v>23</v>
      </c>
      <c r="B408" s="11">
        <v>200.0</v>
      </c>
      <c r="C408" s="11">
        <v>20.0</v>
      </c>
      <c r="D408" s="11">
        <v>22.55</v>
      </c>
      <c r="E408" s="11">
        <v>67.6</v>
      </c>
      <c r="F408" s="11">
        <v>13.42</v>
      </c>
      <c r="G408" s="11">
        <v>476.66</v>
      </c>
      <c r="H408" s="11">
        <v>0.0</v>
      </c>
      <c r="I408" s="11">
        <v>345.38</v>
      </c>
      <c r="J408" s="11">
        <v>7353.7</v>
      </c>
      <c r="K408" s="16"/>
    </row>
    <row r="409">
      <c r="A409" s="12" t="s">
        <v>23</v>
      </c>
      <c r="B409" s="11">
        <v>300.0</v>
      </c>
      <c r="C409" s="11">
        <v>20.0</v>
      </c>
      <c r="D409" s="11">
        <v>22.56</v>
      </c>
      <c r="E409" s="11">
        <v>68.0</v>
      </c>
      <c r="F409" s="11">
        <v>13.48</v>
      </c>
      <c r="G409" s="11">
        <v>476.66</v>
      </c>
      <c r="H409" s="11">
        <v>0.0</v>
      </c>
      <c r="I409" s="11">
        <v>346.32</v>
      </c>
      <c r="J409" s="11">
        <v>7382.5</v>
      </c>
      <c r="K409" s="16"/>
    </row>
    <row r="410">
      <c r="A410" s="12" t="s">
        <v>23</v>
      </c>
      <c r="B410" s="11">
        <v>400.0</v>
      </c>
      <c r="C410" s="11">
        <v>20.0</v>
      </c>
      <c r="D410" s="11">
        <v>22.51</v>
      </c>
      <c r="E410" s="11">
        <v>66.9</v>
      </c>
      <c r="F410" s="11">
        <v>13.51</v>
      </c>
      <c r="G410" s="11">
        <v>476.66</v>
      </c>
      <c r="H410" s="11">
        <v>0.0</v>
      </c>
      <c r="I410" s="11">
        <v>347.1</v>
      </c>
      <c r="J410" s="11">
        <v>7405.55</v>
      </c>
      <c r="K410" s="16"/>
    </row>
    <row r="411">
      <c r="A411" s="12" t="s">
        <v>23</v>
      </c>
      <c r="B411" s="11">
        <v>500.0</v>
      </c>
      <c r="C411" s="11">
        <v>20.0</v>
      </c>
      <c r="D411" s="11">
        <v>22.4</v>
      </c>
      <c r="E411" s="11">
        <v>67.7</v>
      </c>
      <c r="F411" s="11">
        <v>13.47</v>
      </c>
      <c r="G411" s="11">
        <v>476.66</v>
      </c>
      <c r="H411" s="11">
        <v>0.0</v>
      </c>
      <c r="I411" s="11">
        <v>347.59</v>
      </c>
      <c r="J411" s="11">
        <v>7425.5</v>
      </c>
      <c r="K411" s="16"/>
    </row>
    <row r="412">
      <c r="A412" s="12" t="s">
        <v>23</v>
      </c>
      <c r="B412" s="11">
        <v>50.0</v>
      </c>
      <c r="C412" s="11">
        <v>50.0</v>
      </c>
      <c r="D412" s="11">
        <v>22.27</v>
      </c>
      <c r="E412" s="11">
        <v>68.0</v>
      </c>
      <c r="F412" s="11">
        <v>13.41</v>
      </c>
      <c r="G412" s="11">
        <v>476.66</v>
      </c>
      <c r="H412" s="11">
        <v>0.0</v>
      </c>
      <c r="I412" s="11">
        <v>347.85</v>
      </c>
      <c r="J412" s="11">
        <v>7445.77</v>
      </c>
      <c r="K412" s="16"/>
    </row>
    <row r="413">
      <c r="A413" s="12" t="s">
        <v>23</v>
      </c>
      <c r="B413" s="11">
        <v>100.0</v>
      </c>
      <c r="C413" s="11">
        <v>50.0</v>
      </c>
      <c r="D413" s="11">
        <v>22.8</v>
      </c>
      <c r="E413" s="11">
        <v>68.0</v>
      </c>
      <c r="F413" s="11">
        <v>13.98</v>
      </c>
      <c r="G413" s="11">
        <v>476.66</v>
      </c>
      <c r="H413" s="11">
        <v>0.0</v>
      </c>
      <c r="I413" s="11">
        <v>349.91</v>
      </c>
      <c r="J413" s="11">
        <v>7530.53</v>
      </c>
      <c r="K413" s="16"/>
    </row>
    <row r="414">
      <c r="A414" s="12" t="s">
        <v>23</v>
      </c>
      <c r="B414" s="11">
        <v>200.0</v>
      </c>
      <c r="C414" s="11">
        <v>50.0</v>
      </c>
      <c r="D414" s="11">
        <v>22.96</v>
      </c>
      <c r="E414" s="11">
        <v>69.2</v>
      </c>
      <c r="F414" s="11">
        <v>14.17</v>
      </c>
      <c r="G414" s="11">
        <v>476.66</v>
      </c>
      <c r="H414" s="11">
        <v>0.0</v>
      </c>
      <c r="I414" s="11">
        <v>351.75</v>
      </c>
      <c r="J414" s="11">
        <v>7578.75</v>
      </c>
      <c r="K414" s="16"/>
    </row>
    <row r="415">
      <c r="A415" s="12" t="s">
        <v>23</v>
      </c>
      <c r="B415" s="11">
        <v>300.0</v>
      </c>
      <c r="C415" s="11">
        <v>50.0</v>
      </c>
      <c r="D415" s="11">
        <v>22.93</v>
      </c>
      <c r="E415" s="11">
        <v>69.3</v>
      </c>
      <c r="F415" s="11">
        <v>14.22</v>
      </c>
      <c r="G415" s="11">
        <v>476.66</v>
      </c>
      <c r="H415" s="11">
        <v>0.0</v>
      </c>
      <c r="I415" s="11">
        <v>352.9</v>
      </c>
      <c r="J415" s="11">
        <v>7608.2</v>
      </c>
      <c r="K415" s="16"/>
    </row>
    <row r="416">
      <c r="A416" s="12" t="s">
        <v>23</v>
      </c>
      <c r="B416" s="11">
        <v>400.0</v>
      </c>
      <c r="C416" s="11">
        <v>50.0</v>
      </c>
      <c r="D416" s="11">
        <v>22.78</v>
      </c>
      <c r="E416" s="11">
        <v>68.0</v>
      </c>
      <c r="F416" s="11">
        <v>14.19</v>
      </c>
      <c r="G416" s="11">
        <v>476.66</v>
      </c>
      <c r="H416" s="11">
        <v>0.0</v>
      </c>
      <c r="I416" s="11">
        <v>353.75</v>
      </c>
      <c r="J416" s="11">
        <v>7633.29</v>
      </c>
      <c r="K416" s="16"/>
    </row>
    <row r="417">
      <c r="A417" s="12" t="s">
        <v>23</v>
      </c>
      <c r="B417" s="11">
        <v>500.0</v>
      </c>
      <c r="C417" s="11">
        <v>50.0</v>
      </c>
      <c r="D417" s="11">
        <v>22.63</v>
      </c>
      <c r="E417" s="11">
        <v>67.8</v>
      </c>
      <c r="F417" s="11">
        <v>14.13</v>
      </c>
      <c r="G417" s="11">
        <v>476.66</v>
      </c>
      <c r="H417" s="11">
        <v>0.0</v>
      </c>
      <c r="I417" s="11">
        <v>354.11</v>
      </c>
      <c r="J417" s="11">
        <v>7657.4</v>
      </c>
      <c r="K417" s="16"/>
    </row>
    <row r="418">
      <c r="A418" s="12" t="s">
        <v>23</v>
      </c>
      <c r="B418" s="11">
        <v>50.0</v>
      </c>
      <c r="C418" s="11">
        <v>100.0</v>
      </c>
      <c r="D418" s="11">
        <v>22.46</v>
      </c>
      <c r="E418" s="11">
        <v>68.0</v>
      </c>
      <c r="F418" s="11">
        <v>14.09</v>
      </c>
      <c r="G418" s="11">
        <v>476.66</v>
      </c>
      <c r="H418" s="11">
        <v>0.0</v>
      </c>
      <c r="I418" s="11">
        <v>354.22</v>
      </c>
      <c r="J418" s="11">
        <v>7678.04</v>
      </c>
      <c r="K418" s="16"/>
    </row>
    <row r="419">
      <c r="A419" s="12" t="s">
        <v>23</v>
      </c>
      <c r="B419" s="11">
        <v>100.0</v>
      </c>
      <c r="C419" s="11">
        <v>100.0</v>
      </c>
      <c r="D419" s="11">
        <v>23.01</v>
      </c>
      <c r="E419" s="11">
        <v>68.0</v>
      </c>
      <c r="F419" s="11">
        <v>14.7</v>
      </c>
      <c r="G419" s="11">
        <v>476.66</v>
      </c>
      <c r="H419" s="11">
        <v>0.0</v>
      </c>
      <c r="I419" s="11">
        <v>357.87</v>
      </c>
      <c r="J419" s="11">
        <v>7761.58</v>
      </c>
      <c r="K419" s="16"/>
    </row>
    <row r="420">
      <c r="A420" s="12" t="s">
        <v>23</v>
      </c>
      <c r="B420" s="11">
        <v>200.0</v>
      </c>
      <c r="C420" s="11">
        <v>100.0</v>
      </c>
      <c r="D420" s="11">
        <v>23.15</v>
      </c>
      <c r="E420" s="11">
        <v>67.8</v>
      </c>
      <c r="F420" s="11">
        <v>15.02</v>
      </c>
      <c r="G420" s="11">
        <v>476.66</v>
      </c>
      <c r="H420" s="11">
        <v>0.0</v>
      </c>
      <c r="I420" s="11">
        <v>360.55</v>
      </c>
      <c r="J420" s="11">
        <v>7811.37</v>
      </c>
      <c r="K420" s="16"/>
    </row>
    <row r="421">
      <c r="A421" s="12" t="s">
        <v>23</v>
      </c>
      <c r="B421" s="11">
        <v>300.0</v>
      </c>
      <c r="C421" s="11">
        <v>100.0</v>
      </c>
      <c r="D421" s="11">
        <v>22.99</v>
      </c>
      <c r="E421" s="11">
        <v>66.9</v>
      </c>
      <c r="F421" s="11">
        <v>14.97</v>
      </c>
      <c r="G421" s="11">
        <v>476.66</v>
      </c>
      <c r="H421" s="11">
        <v>0.0</v>
      </c>
      <c r="I421" s="11">
        <v>362.44</v>
      </c>
      <c r="J421" s="11">
        <v>7838.84</v>
      </c>
      <c r="K421" s="16"/>
    </row>
    <row r="422">
      <c r="A422" s="12" t="s">
        <v>23</v>
      </c>
      <c r="B422" s="11">
        <v>400.0</v>
      </c>
      <c r="C422" s="11">
        <v>100.0</v>
      </c>
      <c r="D422" s="11">
        <v>22.75</v>
      </c>
      <c r="E422" s="11">
        <v>67.1</v>
      </c>
      <c r="F422" s="11">
        <v>14.93</v>
      </c>
      <c r="G422" s="11">
        <v>476.66</v>
      </c>
      <c r="H422" s="11">
        <v>0.0</v>
      </c>
      <c r="I422" s="11">
        <v>363.33</v>
      </c>
      <c r="J422" s="11">
        <v>7867.36</v>
      </c>
      <c r="K422" s="16"/>
    </row>
    <row r="423">
      <c r="A423" s="12" t="s">
        <v>23</v>
      </c>
      <c r="B423" s="11">
        <v>500.0</v>
      </c>
      <c r="C423" s="11">
        <v>100.0</v>
      </c>
      <c r="D423" s="11">
        <v>22.5</v>
      </c>
      <c r="E423" s="11">
        <v>68.1</v>
      </c>
      <c r="F423" s="11">
        <v>14.82</v>
      </c>
      <c r="G423" s="11">
        <v>476.66</v>
      </c>
      <c r="H423" s="11">
        <v>0.0</v>
      </c>
      <c r="I423" s="11">
        <v>363.59</v>
      </c>
      <c r="J423" s="11">
        <v>7891.18</v>
      </c>
      <c r="K423" s="16"/>
    </row>
    <row r="424">
      <c r="A424" s="12" t="s">
        <v>23</v>
      </c>
      <c r="B424" s="11">
        <v>50.0</v>
      </c>
      <c r="C424" s="11">
        <v>500.0</v>
      </c>
      <c r="D424" s="11">
        <v>22.23</v>
      </c>
      <c r="E424" s="11">
        <v>67.2</v>
      </c>
      <c r="F424" s="11">
        <v>14.77</v>
      </c>
      <c r="G424" s="11">
        <v>476.66</v>
      </c>
      <c r="H424" s="11">
        <v>0.0</v>
      </c>
      <c r="I424" s="11">
        <v>363.79</v>
      </c>
      <c r="J424" s="11">
        <v>7911.69</v>
      </c>
      <c r="K424" s="16"/>
    </row>
    <row r="425">
      <c r="A425" s="12" t="s">
        <v>23</v>
      </c>
      <c r="B425" s="11">
        <v>100.0</v>
      </c>
      <c r="C425" s="11">
        <v>500.0</v>
      </c>
      <c r="D425" s="11">
        <v>21.8</v>
      </c>
      <c r="E425" s="11">
        <v>67.8</v>
      </c>
      <c r="F425" s="11">
        <v>14.34</v>
      </c>
      <c r="G425" s="11">
        <v>476.66</v>
      </c>
      <c r="H425" s="11">
        <v>0.0</v>
      </c>
      <c r="I425" s="11">
        <v>368.84</v>
      </c>
      <c r="J425" s="11">
        <v>7967.89</v>
      </c>
      <c r="K425" s="16"/>
    </row>
    <row r="426">
      <c r="A426" s="12" t="s">
        <v>23</v>
      </c>
      <c r="B426" s="11">
        <v>200.0</v>
      </c>
      <c r="C426" s="11">
        <v>500.0</v>
      </c>
      <c r="D426" s="11">
        <v>21.23</v>
      </c>
      <c r="E426" s="11">
        <v>66.8</v>
      </c>
      <c r="F426" s="11">
        <v>13.68</v>
      </c>
      <c r="G426" s="11">
        <v>476.66</v>
      </c>
      <c r="H426" s="11">
        <v>0.0</v>
      </c>
      <c r="I426" s="11">
        <v>366.11</v>
      </c>
      <c r="J426" s="11">
        <v>7983.41</v>
      </c>
      <c r="K426" s="16"/>
    </row>
    <row r="427">
      <c r="A427" s="12" t="s">
        <v>23</v>
      </c>
      <c r="B427" s="11">
        <v>300.0</v>
      </c>
      <c r="C427" s="11">
        <v>500.0</v>
      </c>
      <c r="D427" s="11">
        <v>20.61</v>
      </c>
      <c r="E427" s="11">
        <v>67.2</v>
      </c>
      <c r="F427" s="11">
        <v>12.95</v>
      </c>
      <c r="G427" s="11">
        <v>476.66</v>
      </c>
      <c r="H427" s="11">
        <v>0.0</v>
      </c>
      <c r="I427" s="11">
        <v>362.95</v>
      </c>
      <c r="J427" s="11">
        <v>7970.4</v>
      </c>
      <c r="K427" s="16"/>
    </row>
    <row r="428">
      <c r="A428" s="12" t="s">
        <v>23</v>
      </c>
      <c r="B428" s="11">
        <v>400.0</v>
      </c>
      <c r="C428" s="11">
        <v>500.0</v>
      </c>
      <c r="D428" s="11">
        <v>19.94</v>
      </c>
      <c r="E428" s="11">
        <v>67.4</v>
      </c>
      <c r="F428" s="11">
        <v>12.1</v>
      </c>
      <c r="G428" s="11">
        <v>476.66</v>
      </c>
      <c r="H428" s="11">
        <v>0.0</v>
      </c>
      <c r="I428" s="11">
        <v>359.05</v>
      </c>
      <c r="J428" s="11">
        <v>7934.05</v>
      </c>
      <c r="K428" s="16"/>
    </row>
    <row r="429">
      <c r="A429" s="12" t="s">
        <v>23</v>
      </c>
      <c r="B429" s="11">
        <v>500.0</v>
      </c>
      <c r="C429" s="11">
        <v>500.0</v>
      </c>
      <c r="D429" s="11">
        <v>19.09</v>
      </c>
      <c r="E429" s="11">
        <v>67.3</v>
      </c>
      <c r="F429" s="11">
        <v>11.11</v>
      </c>
      <c r="G429" s="11">
        <v>476.66</v>
      </c>
      <c r="H429" s="11">
        <v>0.0</v>
      </c>
      <c r="I429" s="11">
        <v>354.03</v>
      </c>
      <c r="J429" s="11">
        <v>7866.2</v>
      </c>
      <c r="K429" s="16"/>
    </row>
    <row r="430">
      <c r="A430" s="12" t="s">
        <v>23</v>
      </c>
      <c r="B430" s="11">
        <v>50.0</v>
      </c>
      <c r="C430" s="11">
        <v>1000.0</v>
      </c>
      <c r="D430" s="11">
        <v>17.94</v>
      </c>
      <c r="E430" s="11">
        <v>50.3</v>
      </c>
      <c r="F430" s="11">
        <v>9.59</v>
      </c>
      <c r="G430" s="11">
        <v>476.66</v>
      </c>
      <c r="H430" s="11">
        <v>0.0</v>
      </c>
      <c r="I430" s="11">
        <v>346.14</v>
      </c>
      <c r="J430" s="11">
        <v>7755.14</v>
      </c>
      <c r="K430" s="16"/>
    </row>
    <row r="431">
      <c r="A431" s="12" t="s">
        <v>23</v>
      </c>
      <c r="B431" s="11">
        <v>100.0</v>
      </c>
      <c r="C431" s="11">
        <v>1000.0</v>
      </c>
      <c r="D431" s="11">
        <v>16.38</v>
      </c>
      <c r="E431" s="11">
        <v>51.4</v>
      </c>
      <c r="F431" s="11">
        <v>7.39</v>
      </c>
      <c r="G431" s="11">
        <v>476.66</v>
      </c>
      <c r="H431" s="11">
        <v>0.0</v>
      </c>
      <c r="I431" s="11">
        <v>337.29</v>
      </c>
      <c r="J431" s="11">
        <v>7532.89</v>
      </c>
      <c r="K431" s="16"/>
    </row>
    <row r="432">
      <c r="A432" s="12" t="s">
        <v>23</v>
      </c>
      <c r="B432" s="11">
        <v>200.0</v>
      </c>
      <c r="C432" s="11">
        <v>1000.0</v>
      </c>
      <c r="D432" s="11">
        <v>15.24</v>
      </c>
      <c r="E432" s="11">
        <v>50.9</v>
      </c>
      <c r="F432" s="11">
        <v>6.02</v>
      </c>
      <c r="G432" s="11">
        <v>476.66</v>
      </c>
      <c r="H432" s="11">
        <v>0.0</v>
      </c>
      <c r="I432" s="11">
        <v>331.15</v>
      </c>
      <c r="J432" s="11">
        <v>7573.54</v>
      </c>
      <c r="K432" s="16"/>
    </row>
    <row r="433">
      <c r="A433" s="12" t="s">
        <v>23</v>
      </c>
      <c r="B433" s="11">
        <v>300.0</v>
      </c>
      <c r="C433" s="11">
        <v>1000.0</v>
      </c>
      <c r="D433" s="11">
        <v>14.34</v>
      </c>
      <c r="E433" s="11">
        <v>50.8</v>
      </c>
      <c r="F433" s="11">
        <v>5.11</v>
      </c>
      <c r="G433" s="11">
        <v>476.66</v>
      </c>
      <c r="H433" s="11">
        <v>0.0</v>
      </c>
      <c r="I433" s="11">
        <v>324.58</v>
      </c>
      <c r="J433" s="11">
        <v>7597.35</v>
      </c>
      <c r="K433" s="16"/>
    </row>
    <row r="434">
      <c r="A434" s="12" t="s">
        <v>23</v>
      </c>
      <c r="B434" s="11">
        <v>400.0</v>
      </c>
      <c r="C434" s="11">
        <v>1000.0</v>
      </c>
      <c r="D434" s="11">
        <v>13.28</v>
      </c>
      <c r="E434" s="11">
        <v>51.1</v>
      </c>
      <c r="F434" s="11">
        <v>3.94</v>
      </c>
      <c r="G434" s="11">
        <v>450.92</v>
      </c>
      <c r="H434" s="11">
        <v>0.0</v>
      </c>
      <c r="I434" s="11">
        <v>316.37</v>
      </c>
      <c r="J434" s="11">
        <v>7625.51</v>
      </c>
      <c r="K434" s="16"/>
    </row>
    <row r="435">
      <c r="A435" s="12" t="s">
        <v>23</v>
      </c>
      <c r="B435" s="11">
        <v>500.0</v>
      </c>
      <c r="C435" s="11">
        <v>1000.0</v>
      </c>
      <c r="D435" s="11">
        <v>12.04</v>
      </c>
      <c r="E435" s="11">
        <v>51.1</v>
      </c>
      <c r="F435" s="11">
        <v>2.61</v>
      </c>
      <c r="G435" s="11">
        <v>428.12</v>
      </c>
      <c r="H435" s="11">
        <v>0.0</v>
      </c>
      <c r="I435" s="11">
        <v>305.59</v>
      </c>
      <c r="J435" s="11">
        <v>7657.6</v>
      </c>
      <c r="K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>
      <c r="K437" s="16"/>
    </row>
    <row r="438">
      <c r="K438" s="16"/>
    </row>
    <row r="439">
      <c r="K439" s="16"/>
    </row>
    <row r="440">
      <c r="K440" s="16"/>
    </row>
    <row r="441">
      <c r="K441" s="16"/>
    </row>
    <row r="442">
      <c r="K442" s="16"/>
    </row>
    <row r="443">
      <c r="K443" s="16"/>
    </row>
    <row r="444">
      <c r="K444" s="16"/>
    </row>
    <row r="445">
      <c r="K445" s="16"/>
    </row>
    <row r="446">
      <c r="K446" s="16"/>
    </row>
    <row r="447">
      <c r="K447" s="16"/>
    </row>
    <row r="448">
      <c r="K448" s="16"/>
    </row>
    <row r="449">
      <c r="K449" s="16"/>
    </row>
    <row r="450">
      <c r="K450" s="16"/>
    </row>
    <row r="451">
      <c r="K451" s="16"/>
    </row>
    <row r="452">
      <c r="K452" s="16"/>
    </row>
    <row r="453">
      <c r="K453" s="16"/>
    </row>
    <row r="454">
      <c r="K454" s="16"/>
    </row>
    <row r="455">
      <c r="K455" s="16"/>
    </row>
    <row r="456">
      <c r="K456" s="16"/>
    </row>
    <row r="457">
      <c r="K457" s="16"/>
    </row>
    <row r="458">
      <c r="K458" s="16"/>
    </row>
    <row r="459">
      <c r="K459" s="16"/>
    </row>
    <row r="460">
      <c r="K460" s="16"/>
    </row>
    <row r="461">
      <c r="K461" s="16"/>
    </row>
    <row r="462">
      <c r="K462" s="16"/>
    </row>
    <row r="463">
      <c r="K463" s="16"/>
    </row>
    <row r="464">
      <c r="K464" s="16"/>
    </row>
    <row r="465">
      <c r="K465" s="16"/>
    </row>
    <row r="466">
      <c r="K466" s="16"/>
    </row>
    <row r="467">
      <c r="K467" s="16"/>
    </row>
    <row r="468">
      <c r="K468" s="16"/>
    </row>
    <row r="469">
      <c r="K469" s="16"/>
    </row>
    <row r="470">
      <c r="K470" s="16"/>
    </row>
    <row r="471">
      <c r="K471" s="16"/>
    </row>
    <row r="472">
      <c r="K472" s="16"/>
    </row>
    <row r="473">
      <c r="K473" s="16"/>
    </row>
    <row r="474">
      <c r="K474" s="16"/>
    </row>
    <row r="475">
      <c r="K475" s="16"/>
    </row>
    <row r="476">
      <c r="K476" s="16"/>
    </row>
    <row r="477">
      <c r="K477" s="16"/>
    </row>
    <row r="478">
      <c r="K478" s="16"/>
    </row>
  </sheetData>
  <mergeCells count="5">
    <mergeCell ref="A1:J1"/>
    <mergeCell ref="A47:J47"/>
    <mergeCell ref="A130:J130"/>
    <mergeCell ref="A171:J171"/>
    <mergeCell ref="A313:I3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41</v>
      </c>
    </row>
    <row r="2">
      <c r="A2" s="17" t="s">
        <v>11</v>
      </c>
      <c r="B2" s="17">
        <v>50.0</v>
      </c>
      <c r="C2" s="17">
        <v>5000.0</v>
      </c>
      <c r="D2" s="17">
        <v>0.0</v>
      </c>
      <c r="E2" s="17">
        <v>50.0</v>
      </c>
      <c r="F2" s="17">
        <v>1.33</v>
      </c>
      <c r="G2" s="18">
        <v>0.0</v>
      </c>
      <c r="H2" s="17">
        <v>0.11</v>
      </c>
      <c r="I2" s="17">
        <v>50.0</v>
      </c>
      <c r="J2" s="17">
        <v>35.0</v>
      </c>
    </row>
    <row r="3">
      <c r="A3" s="17" t="s">
        <v>11</v>
      </c>
      <c r="B3" s="17">
        <v>100.0</v>
      </c>
      <c r="C3" s="17">
        <v>5000.0</v>
      </c>
      <c r="D3" s="17">
        <v>0.0</v>
      </c>
      <c r="E3" s="17">
        <v>99.9</v>
      </c>
      <c r="F3" s="17">
        <v>1.0</v>
      </c>
      <c r="G3" s="18">
        <v>0.0</v>
      </c>
      <c r="H3" s="17">
        <v>0.09</v>
      </c>
      <c r="I3" s="17">
        <v>99.8</v>
      </c>
      <c r="J3" s="17">
        <v>35.0</v>
      </c>
    </row>
    <row r="4">
      <c r="A4" s="17" t="s">
        <v>11</v>
      </c>
      <c r="B4" s="17">
        <v>200.0</v>
      </c>
      <c r="C4" s="17">
        <v>5000.0</v>
      </c>
      <c r="D4" s="17">
        <v>0.0</v>
      </c>
      <c r="E4" s="17">
        <v>199.2</v>
      </c>
      <c r="F4" s="17">
        <v>1.49</v>
      </c>
      <c r="G4" s="18">
        <v>0.0</v>
      </c>
      <c r="H4" s="17">
        <v>0.12</v>
      </c>
      <c r="I4" s="17">
        <v>198.7</v>
      </c>
      <c r="J4" s="17">
        <v>35.0</v>
      </c>
    </row>
    <row r="5">
      <c r="A5" s="17" t="s">
        <v>11</v>
      </c>
      <c r="B5" s="17">
        <v>300.0</v>
      </c>
      <c r="C5" s="17">
        <v>4999.0</v>
      </c>
      <c r="D5" s="17">
        <v>1.0</v>
      </c>
      <c r="E5" s="17">
        <v>299.8</v>
      </c>
      <c r="F5" s="17">
        <v>2.08</v>
      </c>
      <c r="G5" s="18">
        <v>0.0</v>
      </c>
      <c r="H5" s="17">
        <v>0.29</v>
      </c>
      <c r="I5" s="17">
        <v>267.1</v>
      </c>
      <c r="J5" s="17">
        <v>35.0</v>
      </c>
    </row>
    <row r="6">
      <c r="A6" s="17" t="s">
        <v>11</v>
      </c>
      <c r="B6" s="17">
        <v>400.0</v>
      </c>
      <c r="C6" s="17">
        <v>4996.0</v>
      </c>
      <c r="D6" s="17">
        <v>4.0</v>
      </c>
      <c r="E6" s="17">
        <v>398.6</v>
      </c>
      <c r="F6" s="17">
        <v>6.52</v>
      </c>
      <c r="G6" s="18">
        <v>0.09</v>
      </c>
      <c r="H6" s="17">
        <v>4.45</v>
      </c>
      <c r="I6" s="17">
        <v>263.2</v>
      </c>
      <c r="J6" s="17">
        <v>35.0</v>
      </c>
    </row>
    <row r="7">
      <c r="A7" s="17" t="s">
        <v>11</v>
      </c>
      <c r="B7" s="17">
        <v>500.0</v>
      </c>
      <c r="C7" s="17">
        <v>4996.0</v>
      </c>
      <c r="D7" s="17">
        <v>4.0</v>
      </c>
      <c r="E7" s="17">
        <v>497.8</v>
      </c>
      <c r="F7" s="17">
        <v>9.21</v>
      </c>
      <c r="G7" s="18">
        <v>0.09</v>
      </c>
      <c r="H7" s="17">
        <v>6.48</v>
      </c>
      <c r="I7" s="17">
        <v>261.4</v>
      </c>
      <c r="J7" s="17">
        <v>35.0</v>
      </c>
    </row>
    <row r="8">
      <c r="A8" s="17" t="s">
        <v>12</v>
      </c>
      <c r="B8" s="17">
        <v>50.0</v>
      </c>
      <c r="C8" s="17">
        <v>5000.0</v>
      </c>
      <c r="D8" s="17">
        <v>0.0</v>
      </c>
      <c r="E8" s="17">
        <v>50.0</v>
      </c>
      <c r="F8" s="17">
        <v>2.04</v>
      </c>
      <c r="G8" s="18">
        <v>0.0</v>
      </c>
      <c r="H8" s="17">
        <v>0.07</v>
      </c>
      <c r="I8" s="17">
        <v>49.0</v>
      </c>
      <c r="J8" s="17">
        <v>41.0</v>
      </c>
    </row>
    <row r="9">
      <c r="A9" s="17" t="s">
        <v>12</v>
      </c>
      <c r="B9" s="17">
        <v>100.0</v>
      </c>
      <c r="C9" s="17">
        <v>5010.0</v>
      </c>
      <c r="D9" s="17">
        <v>0.0</v>
      </c>
      <c r="E9" s="17">
        <v>100.3</v>
      </c>
      <c r="F9" s="17">
        <v>2.04</v>
      </c>
      <c r="G9" s="18">
        <v>0.0</v>
      </c>
      <c r="H9" s="17">
        <v>0.05</v>
      </c>
      <c r="I9" s="17">
        <v>96.5</v>
      </c>
      <c r="J9" s="17">
        <v>41.0</v>
      </c>
    </row>
    <row r="10">
      <c r="A10" s="17" t="s">
        <v>12</v>
      </c>
      <c r="B10" s="17">
        <v>200.0</v>
      </c>
      <c r="C10" s="17">
        <v>5010.0</v>
      </c>
      <c r="D10" s="17">
        <v>0.0</v>
      </c>
      <c r="E10" s="17">
        <v>199.6</v>
      </c>
      <c r="F10" s="17">
        <v>2.04</v>
      </c>
      <c r="G10" s="18">
        <v>0.0</v>
      </c>
      <c r="H10" s="17">
        <v>0.05</v>
      </c>
      <c r="I10" s="17">
        <v>185.0</v>
      </c>
      <c r="J10" s="17">
        <v>41.0</v>
      </c>
    </row>
    <row r="11">
      <c r="A11" s="17" t="s">
        <v>12</v>
      </c>
      <c r="B11" s="17">
        <v>300.0</v>
      </c>
      <c r="C11" s="17">
        <v>5009.0</v>
      </c>
      <c r="D11" s="17">
        <v>1.0</v>
      </c>
      <c r="E11" s="17">
        <v>299.9</v>
      </c>
      <c r="F11" s="17">
        <v>2.04</v>
      </c>
      <c r="G11" s="18">
        <v>0.0</v>
      </c>
      <c r="H11" s="17">
        <v>0.06</v>
      </c>
      <c r="I11" s="17">
        <v>267.7</v>
      </c>
      <c r="J11" s="17">
        <v>41.0</v>
      </c>
    </row>
    <row r="12">
      <c r="A12" s="17" t="s">
        <v>12</v>
      </c>
      <c r="B12" s="17">
        <v>400.0</v>
      </c>
      <c r="C12" s="17">
        <v>5007.0</v>
      </c>
      <c r="D12" s="17">
        <v>3.0</v>
      </c>
      <c r="E12" s="17">
        <v>398.1</v>
      </c>
      <c r="F12" s="17">
        <v>2.04</v>
      </c>
      <c r="G12" s="18">
        <v>0.01</v>
      </c>
      <c r="H12" s="17">
        <v>0.05</v>
      </c>
      <c r="I12" s="17">
        <v>343.6</v>
      </c>
      <c r="J12" s="17">
        <v>41.0</v>
      </c>
    </row>
    <row r="13">
      <c r="A13" s="17" t="s">
        <v>12</v>
      </c>
      <c r="B13" s="17">
        <v>500.0</v>
      </c>
      <c r="C13" s="17">
        <v>5005.0</v>
      </c>
      <c r="D13" s="17">
        <v>5.0</v>
      </c>
      <c r="E13" s="17">
        <v>499.4</v>
      </c>
      <c r="F13" s="17">
        <v>0.26</v>
      </c>
      <c r="G13" s="18">
        <v>0.01</v>
      </c>
      <c r="H13" s="17">
        <v>0.09</v>
      </c>
      <c r="I13" s="17">
        <v>416.3</v>
      </c>
      <c r="J13" s="17">
        <v>41.0</v>
      </c>
    </row>
    <row r="14">
      <c r="A14" s="19" t="s">
        <v>13</v>
      </c>
      <c r="B14" s="20">
        <v>50.0</v>
      </c>
      <c r="C14" s="20">
        <v>4994.0</v>
      </c>
      <c r="D14" s="20">
        <v>16.0</v>
      </c>
      <c r="E14" s="20">
        <v>50.1</v>
      </c>
      <c r="F14" s="20">
        <v>2.05</v>
      </c>
      <c r="G14" s="21">
        <v>0.0</v>
      </c>
      <c r="H14" s="20">
        <v>0.08</v>
      </c>
      <c r="I14" s="20">
        <v>49.1</v>
      </c>
      <c r="J14" s="17">
        <v>41.0</v>
      </c>
    </row>
    <row r="15">
      <c r="A15" s="19" t="s">
        <v>13</v>
      </c>
      <c r="B15" s="20">
        <v>100.0</v>
      </c>
      <c r="C15" s="20">
        <v>4997.0</v>
      </c>
      <c r="D15" s="20">
        <v>13.0</v>
      </c>
      <c r="E15" s="20">
        <v>100.2</v>
      </c>
      <c r="F15" s="20">
        <v>2.04</v>
      </c>
      <c r="G15" s="21">
        <v>0.0</v>
      </c>
      <c r="H15" s="20">
        <v>0.06</v>
      </c>
      <c r="I15" s="20">
        <v>96.4</v>
      </c>
      <c r="J15" s="17">
        <v>41.0</v>
      </c>
    </row>
    <row r="16">
      <c r="A16" s="19" t="s">
        <v>13</v>
      </c>
      <c r="B16" s="20">
        <v>200.0</v>
      </c>
      <c r="C16" s="20">
        <v>4991.0</v>
      </c>
      <c r="D16" s="20">
        <v>19.0</v>
      </c>
      <c r="E16" s="20">
        <v>200.1</v>
      </c>
      <c r="F16" s="20">
        <v>2.04</v>
      </c>
      <c r="G16" s="21">
        <v>0.0</v>
      </c>
      <c r="H16" s="20">
        <v>0.05</v>
      </c>
      <c r="I16" s="20">
        <v>185.0</v>
      </c>
      <c r="J16" s="17">
        <v>41.0</v>
      </c>
    </row>
    <row r="17">
      <c r="A17" s="19" t="s">
        <v>13</v>
      </c>
      <c r="B17" s="20">
        <v>300.0</v>
      </c>
      <c r="C17" s="20">
        <v>4986.0</v>
      </c>
      <c r="D17" s="20">
        <v>24.0</v>
      </c>
      <c r="E17" s="20">
        <v>298.7</v>
      </c>
      <c r="F17" s="20">
        <v>2.04</v>
      </c>
      <c r="G17" s="21">
        <v>0.01</v>
      </c>
      <c r="H17" s="20">
        <v>0.05</v>
      </c>
      <c r="I17" s="20">
        <v>266.9</v>
      </c>
      <c r="J17" s="17">
        <v>41.0</v>
      </c>
    </row>
    <row r="18">
      <c r="A18" s="19" t="s">
        <v>13</v>
      </c>
      <c r="B18" s="20">
        <v>400.0</v>
      </c>
      <c r="C18" s="20">
        <v>4970.0</v>
      </c>
      <c r="D18" s="20">
        <v>40.0</v>
      </c>
      <c r="E18" s="20">
        <v>398.3</v>
      </c>
      <c r="F18" s="20">
        <v>2.06</v>
      </c>
      <c r="G18" s="21">
        <v>0.01</v>
      </c>
      <c r="H18" s="20">
        <v>0.06</v>
      </c>
      <c r="I18" s="20">
        <v>343.6</v>
      </c>
      <c r="J18" s="17">
        <v>41.0</v>
      </c>
    </row>
    <row r="19">
      <c r="A19" s="19" t="s">
        <v>13</v>
      </c>
      <c r="B19" s="20">
        <v>500.0</v>
      </c>
      <c r="C19" s="20">
        <v>4946.0</v>
      </c>
      <c r="D19" s="20">
        <v>70.0</v>
      </c>
      <c r="E19" s="20">
        <v>499.7</v>
      </c>
      <c r="F19" s="20">
        <v>2.07</v>
      </c>
      <c r="G19" s="21">
        <v>0.01</v>
      </c>
      <c r="H19" s="20">
        <v>0.08</v>
      </c>
      <c r="I19" s="20">
        <v>414.5</v>
      </c>
      <c r="J19" s="17">
        <v>41.0</v>
      </c>
    </row>
    <row r="20">
      <c r="A20" s="17" t="s">
        <v>14</v>
      </c>
      <c r="B20" s="17">
        <v>50.0</v>
      </c>
      <c r="C20" s="17">
        <v>5000.0</v>
      </c>
      <c r="D20" s="17">
        <v>0.0</v>
      </c>
      <c r="E20" s="17">
        <v>50.0</v>
      </c>
      <c r="F20" s="17">
        <v>1.39</v>
      </c>
      <c r="G20" s="18">
        <v>0.0</v>
      </c>
      <c r="H20" s="17">
        <v>0.18</v>
      </c>
      <c r="I20" s="17">
        <v>50.0</v>
      </c>
      <c r="J20" s="17">
        <v>91.0</v>
      </c>
    </row>
    <row r="21">
      <c r="A21" s="17" t="s">
        <v>14</v>
      </c>
      <c r="B21" s="17">
        <v>100.0</v>
      </c>
      <c r="C21" s="17">
        <v>5000.0</v>
      </c>
      <c r="D21" s="17">
        <v>0.0</v>
      </c>
      <c r="E21" s="17">
        <v>100.1</v>
      </c>
      <c r="F21" s="17">
        <v>1.11</v>
      </c>
      <c r="G21" s="18">
        <v>0.0</v>
      </c>
      <c r="H21" s="17">
        <v>0.19</v>
      </c>
      <c r="I21" s="17">
        <v>99.7</v>
      </c>
      <c r="J21" s="17">
        <v>91.0</v>
      </c>
    </row>
    <row r="22">
      <c r="A22" s="17" t="s">
        <v>14</v>
      </c>
      <c r="B22" s="17">
        <v>200.0</v>
      </c>
      <c r="C22" s="17">
        <v>5000.0</v>
      </c>
      <c r="D22" s="17">
        <v>0.0</v>
      </c>
      <c r="E22" s="17">
        <v>199.5</v>
      </c>
      <c r="F22" s="17">
        <v>17.17</v>
      </c>
      <c r="G22" s="18">
        <v>0.19</v>
      </c>
      <c r="H22" s="17">
        <v>10.73</v>
      </c>
      <c r="I22" s="17">
        <v>118.9</v>
      </c>
      <c r="J22" s="17">
        <v>91.0</v>
      </c>
    </row>
    <row r="23">
      <c r="A23" s="17" t="s">
        <v>14</v>
      </c>
      <c r="B23" s="17">
        <v>300.0</v>
      </c>
      <c r="C23" s="17">
        <v>4997.0</v>
      </c>
      <c r="D23" s="17">
        <v>3.0</v>
      </c>
      <c r="E23" s="17">
        <v>299.5</v>
      </c>
      <c r="F23" s="17">
        <v>20.46</v>
      </c>
      <c r="G23" s="18">
        <v>0.35</v>
      </c>
      <c r="H23" s="17">
        <v>16.24</v>
      </c>
      <c r="I23" s="17">
        <v>136.1</v>
      </c>
      <c r="J23" s="17">
        <v>91.0</v>
      </c>
    </row>
    <row r="24">
      <c r="A24" s="17" t="s">
        <v>14</v>
      </c>
      <c r="B24" s="17">
        <v>400.0</v>
      </c>
      <c r="C24" s="17">
        <v>4995.0</v>
      </c>
      <c r="D24" s="17">
        <v>5.0</v>
      </c>
      <c r="E24" s="17">
        <v>399.3</v>
      </c>
      <c r="F24" s="17">
        <v>25.83</v>
      </c>
      <c r="G24" s="18">
        <v>1.03</v>
      </c>
      <c r="H24" s="17">
        <v>18.83</v>
      </c>
      <c r="I24" s="17">
        <v>136.6</v>
      </c>
      <c r="J24" s="17">
        <v>91.0</v>
      </c>
    </row>
    <row r="25">
      <c r="A25" s="17" t="s">
        <v>14</v>
      </c>
      <c r="B25" s="17">
        <v>500.0</v>
      </c>
      <c r="C25" s="17">
        <v>4991.0</v>
      </c>
      <c r="D25" s="17">
        <v>9.0</v>
      </c>
      <c r="E25" s="17">
        <v>473.7</v>
      </c>
      <c r="F25" s="17">
        <v>32.84</v>
      </c>
      <c r="G25" s="18">
        <v>0.6</v>
      </c>
      <c r="H25" s="17">
        <v>22.56</v>
      </c>
      <c r="I25" s="17">
        <v>140.1</v>
      </c>
      <c r="J25" s="17">
        <v>91.0</v>
      </c>
    </row>
    <row r="26">
      <c r="A26" s="17" t="s">
        <v>22</v>
      </c>
      <c r="B26" s="17">
        <v>50.0</v>
      </c>
      <c r="C26" s="17">
        <v>5000.0</v>
      </c>
      <c r="D26" s="17">
        <v>0.0</v>
      </c>
      <c r="E26" s="17">
        <v>50.0</v>
      </c>
      <c r="F26" s="17">
        <v>0.06</v>
      </c>
      <c r="G26" s="18">
        <v>0.0</v>
      </c>
      <c r="H26" s="17">
        <v>0.01</v>
      </c>
      <c r="I26" s="17">
        <v>50.0</v>
      </c>
      <c r="J26" s="17">
        <v>2908.0</v>
      </c>
    </row>
    <row r="27">
      <c r="A27" s="17" t="s">
        <v>22</v>
      </c>
      <c r="B27" s="17">
        <v>100.0</v>
      </c>
      <c r="C27" s="17">
        <v>4995.0</v>
      </c>
      <c r="D27" s="17">
        <v>0.0</v>
      </c>
      <c r="E27" s="17">
        <v>99.9</v>
      </c>
      <c r="F27" s="17">
        <v>0.02</v>
      </c>
      <c r="G27" s="18">
        <v>0.0</v>
      </c>
      <c r="H27" s="17">
        <v>0.01</v>
      </c>
      <c r="I27" s="17">
        <v>99.9</v>
      </c>
      <c r="J27" s="17">
        <v>2908.0</v>
      </c>
    </row>
    <row r="28">
      <c r="A28" s="17" t="s">
        <v>22</v>
      </c>
      <c r="B28" s="17">
        <v>200.0</v>
      </c>
      <c r="C28" s="17">
        <v>5000.0</v>
      </c>
      <c r="D28" s="17">
        <v>0.0</v>
      </c>
      <c r="E28" s="17">
        <v>199.8</v>
      </c>
      <c r="F28" s="17">
        <v>0.5</v>
      </c>
      <c r="G28" s="18">
        <v>0.01</v>
      </c>
      <c r="H28" s="17">
        <v>0.01</v>
      </c>
      <c r="I28" s="17">
        <v>199.8</v>
      </c>
      <c r="J28" s="17">
        <v>2908.0</v>
      </c>
    </row>
    <row r="29">
      <c r="A29" s="17" t="s">
        <v>22</v>
      </c>
      <c r="B29" s="17">
        <v>300.0</v>
      </c>
      <c r="C29" s="17">
        <v>5000.0</v>
      </c>
      <c r="D29" s="17">
        <v>0.0</v>
      </c>
      <c r="E29" s="17">
        <v>299.4</v>
      </c>
      <c r="F29" s="17">
        <v>0.03</v>
      </c>
      <c r="G29" s="18">
        <v>0.01</v>
      </c>
      <c r="H29" s="17">
        <v>0.01</v>
      </c>
      <c r="I29" s="17">
        <v>299.3</v>
      </c>
      <c r="J29" s="17">
        <v>2908.0</v>
      </c>
    </row>
    <row r="30">
      <c r="A30" s="17" t="s">
        <v>22</v>
      </c>
      <c r="B30" s="17">
        <v>400.0</v>
      </c>
      <c r="C30" s="17">
        <v>5000.0</v>
      </c>
      <c r="D30" s="17">
        <v>0.0</v>
      </c>
      <c r="E30" s="17">
        <v>377.8</v>
      </c>
      <c r="F30" s="17">
        <v>1.19</v>
      </c>
      <c r="G30" s="18">
        <v>0.0</v>
      </c>
      <c r="H30" s="17">
        <v>0.01</v>
      </c>
      <c r="I30" s="17">
        <v>373.6</v>
      </c>
      <c r="J30" s="17">
        <v>2908.0</v>
      </c>
    </row>
    <row r="31">
      <c r="A31" s="17" t="s">
        <v>22</v>
      </c>
      <c r="B31" s="17">
        <v>500.0</v>
      </c>
      <c r="C31" s="17">
        <v>5000.0</v>
      </c>
      <c r="D31" s="17">
        <v>0.0</v>
      </c>
      <c r="E31" s="17">
        <v>496.2</v>
      </c>
      <c r="F31" s="17">
        <v>0.1</v>
      </c>
      <c r="G31" s="18">
        <v>0.0</v>
      </c>
      <c r="H31" s="17">
        <v>0.02</v>
      </c>
      <c r="I31" s="17">
        <v>495.8</v>
      </c>
      <c r="J31" s="17">
        <v>2908.0</v>
      </c>
    </row>
    <row r="32">
      <c r="A32" s="17" t="s">
        <v>15</v>
      </c>
      <c r="B32" s="17">
        <v>50.0</v>
      </c>
      <c r="C32" s="17">
        <v>4114.0</v>
      </c>
      <c r="D32" s="17">
        <v>883.0</v>
      </c>
      <c r="E32" s="17">
        <v>50.0</v>
      </c>
      <c r="F32" s="17">
        <v>1.46</v>
      </c>
      <c r="G32" s="18">
        <v>0.0</v>
      </c>
      <c r="H32" s="17">
        <v>0.16</v>
      </c>
      <c r="I32" s="17">
        <v>50.0</v>
      </c>
      <c r="J32" s="17">
        <v>40.0</v>
      </c>
    </row>
    <row r="33">
      <c r="A33" s="17" t="s">
        <v>15</v>
      </c>
      <c r="B33" s="17">
        <v>100.0</v>
      </c>
      <c r="C33" s="17">
        <v>4113.0</v>
      </c>
      <c r="D33" s="17">
        <v>887.0</v>
      </c>
      <c r="E33" s="17">
        <v>99.9</v>
      </c>
      <c r="F33" s="17">
        <v>2.05</v>
      </c>
      <c r="G33" s="18">
        <v>0.04</v>
      </c>
      <c r="H33" s="17">
        <v>0.11</v>
      </c>
      <c r="I33" s="17">
        <v>96.2</v>
      </c>
      <c r="J33" s="17">
        <v>40.0</v>
      </c>
    </row>
    <row r="34">
      <c r="A34" s="17" t="s">
        <v>15</v>
      </c>
      <c r="B34" s="17">
        <v>200.0</v>
      </c>
      <c r="C34" s="17">
        <v>4134.0</v>
      </c>
      <c r="D34" s="17">
        <v>866.0</v>
      </c>
      <c r="E34" s="17">
        <v>200.0</v>
      </c>
      <c r="F34" s="17">
        <v>2.05</v>
      </c>
      <c r="G34" s="18">
        <v>0.04</v>
      </c>
      <c r="H34" s="17">
        <v>0.1</v>
      </c>
      <c r="I34" s="17">
        <v>185.2</v>
      </c>
      <c r="J34" s="17">
        <v>40.0</v>
      </c>
    </row>
    <row r="35">
      <c r="A35" s="17" t="s">
        <v>15</v>
      </c>
      <c r="B35" s="17">
        <v>300.0</v>
      </c>
      <c r="C35" s="17">
        <v>4105.0</v>
      </c>
      <c r="D35" s="17">
        <v>895.0</v>
      </c>
      <c r="E35" s="17">
        <v>299.8</v>
      </c>
      <c r="F35" s="17">
        <v>2.08</v>
      </c>
      <c r="G35" s="18">
        <v>0.05</v>
      </c>
      <c r="H35" s="17">
        <v>0.12</v>
      </c>
      <c r="I35" s="17">
        <v>267.3</v>
      </c>
      <c r="J35" s="17">
        <v>40.0</v>
      </c>
    </row>
    <row r="36">
      <c r="A36" s="17" t="s">
        <v>15</v>
      </c>
      <c r="B36" s="17">
        <v>400.0</v>
      </c>
      <c r="C36" s="17">
        <v>4134.0</v>
      </c>
      <c r="D36" s="17">
        <v>866.0</v>
      </c>
      <c r="E36" s="17">
        <v>397.9</v>
      </c>
      <c r="F36" s="17">
        <v>4.26</v>
      </c>
      <c r="G36" s="18">
        <v>0.07</v>
      </c>
      <c r="H36" s="17">
        <v>2.64</v>
      </c>
      <c r="I36" s="17">
        <v>328.7</v>
      </c>
      <c r="J36" s="17">
        <v>40.0</v>
      </c>
    </row>
    <row r="37">
      <c r="A37" s="17" t="s">
        <v>15</v>
      </c>
      <c r="B37" s="17">
        <v>500.0</v>
      </c>
      <c r="C37" s="17">
        <v>4078.0</v>
      </c>
      <c r="D37" s="17">
        <v>922.0</v>
      </c>
      <c r="E37" s="17">
        <v>496.7</v>
      </c>
      <c r="F37" s="17">
        <v>6.66</v>
      </c>
      <c r="G37" s="18">
        <v>0.09</v>
      </c>
      <c r="H37" s="17">
        <v>4.21</v>
      </c>
      <c r="I37" s="17">
        <v>300.2</v>
      </c>
      <c r="J37" s="17">
        <v>40.0</v>
      </c>
    </row>
    <row r="38">
      <c r="A38" s="17" t="s">
        <v>16</v>
      </c>
      <c r="B38" s="17">
        <v>50.0</v>
      </c>
      <c r="C38" s="17">
        <v>5000.0</v>
      </c>
      <c r="D38" s="17">
        <v>0.0</v>
      </c>
      <c r="E38" s="17">
        <v>50.0</v>
      </c>
      <c r="F38" s="17">
        <v>1.33</v>
      </c>
      <c r="G38" s="18">
        <v>0.0</v>
      </c>
      <c r="H38" s="17">
        <v>0.11</v>
      </c>
      <c r="I38" s="17">
        <v>50.0</v>
      </c>
      <c r="J38" s="17">
        <v>64.0</v>
      </c>
    </row>
    <row r="39">
      <c r="A39" s="17" t="s">
        <v>16</v>
      </c>
      <c r="B39" s="17">
        <v>100.0</v>
      </c>
      <c r="C39" s="17">
        <v>5000.0</v>
      </c>
      <c r="D39" s="17">
        <v>0.0</v>
      </c>
      <c r="E39" s="17">
        <v>100.0</v>
      </c>
      <c r="F39" s="17">
        <v>1.31</v>
      </c>
      <c r="G39" s="18">
        <v>0.0</v>
      </c>
      <c r="H39" s="17">
        <v>0.09</v>
      </c>
      <c r="I39" s="17">
        <v>99.9</v>
      </c>
      <c r="J39" s="17">
        <v>64.0</v>
      </c>
    </row>
    <row r="40">
      <c r="A40" s="17" t="s">
        <v>16</v>
      </c>
      <c r="B40" s="17">
        <v>200.0</v>
      </c>
      <c r="C40" s="17">
        <v>5000.0</v>
      </c>
      <c r="D40" s="17">
        <v>0.0</v>
      </c>
      <c r="E40" s="17">
        <v>200.0</v>
      </c>
      <c r="F40" s="17">
        <v>1.11</v>
      </c>
      <c r="G40" s="18">
        <v>0.0</v>
      </c>
      <c r="H40" s="17">
        <v>0.07</v>
      </c>
      <c r="I40" s="17">
        <v>199.6</v>
      </c>
      <c r="J40" s="17">
        <v>64.0</v>
      </c>
    </row>
    <row r="41">
      <c r="A41" s="17" t="s">
        <v>16</v>
      </c>
      <c r="B41" s="17">
        <v>300.0</v>
      </c>
      <c r="C41" s="17">
        <v>4996.0</v>
      </c>
      <c r="D41" s="17">
        <v>4.0</v>
      </c>
      <c r="E41" s="17">
        <v>298.9</v>
      </c>
      <c r="F41" s="17">
        <v>2.09</v>
      </c>
      <c r="G41" s="18">
        <v>0.0</v>
      </c>
      <c r="H41" s="17">
        <v>0.31</v>
      </c>
      <c r="I41" s="17">
        <v>266.4</v>
      </c>
      <c r="J41" s="17">
        <v>64.0</v>
      </c>
    </row>
    <row r="42">
      <c r="A42" s="17" t="s">
        <v>16</v>
      </c>
      <c r="B42" s="17">
        <v>400.0</v>
      </c>
      <c r="C42" s="17">
        <v>4997.0</v>
      </c>
      <c r="D42" s="17">
        <v>3.0</v>
      </c>
      <c r="E42" s="17">
        <v>399.8</v>
      </c>
      <c r="F42" s="17">
        <v>4.01</v>
      </c>
      <c r="G42" s="18">
        <v>0.08</v>
      </c>
      <c r="H42" s="17">
        <v>2.64</v>
      </c>
      <c r="I42" s="17">
        <v>308.4</v>
      </c>
      <c r="J42" s="17">
        <v>64.0</v>
      </c>
    </row>
    <row r="43">
      <c r="A43" s="17" t="s">
        <v>16</v>
      </c>
      <c r="B43" s="17">
        <v>500.0</v>
      </c>
      <c r="C43" s="17">
        <v>4994.0</v>
      </c>
      <c r="D43" s="17">
        <v>6.0</v>
      </c>
      <c r="E43" s="17">
        <v>495.2</v>
      </c>
      <c r="F43" s="17">
        <v>6.91</v>
      </c>
      <c r="G43" s="18">
        <v>0.1</v>
      </c>
      <c r="H43" s="17">
        <v>4.45</v>
      </c>
      <c r="I43" s="17">
        <v>294.8</v>
      </c>
      <c r="J43" s="17">
        <v>64.0</v>
      </c>
    </row>
    <row r="44">
      <c r="A44" s="17" t="s">
        <v>17</v>
      </c>
      <c r="B44" s="17">
        <v>50.0</v>
      </c>
      <c r="C44" s="17">
        <v>5000.0</v>
      </c>
      <c r="D44" s="17">
        <v>0.0</v>
      </c>
      <c r="E44" s="17">
        <v>50.0</v>
      </c>
      <c r="F44" s="17">
        <v>0.72</v>
      </c>
      <c r="G44" s="18">
        <v>0.0</v>
      </c>
      <c r="H44" s="17">
        <v>0.1</v>
      </c>
      <c r="I44" s="17">
        <v>50.0</v>
      </c>
      <c r="J44" s="17">
        <v>483.0</v>
      </c>
    </row>
    <row r="45">
      <c r="A45" s="17" t="s">
        <v>17</v>
      </c>
      <c r="B45" s="17">
        <v>100.0</v>
      </c>
      <c r="C45" s="17">
        <v>5000.0</v>
      </c>
      <c r="D45" s="17">
        <v>0.0</v>
      </c>
      <c r="E45" s="17">
        <v>100.0</v>
      </c>
      <c r="F45" s="17">
        <v>1.33</v>
      </c>
      <c r="G45" s="18">
        <v>0.0</v>
      </c>
      <c r="H45" s="17">
        <v>0.09</v>
      </c>
      <c r="I45" s="17">
        <v>99.9</v>
      </c>
      <c r="J45" s="17">
        <v>483.0</v>
      </c>
    </row>
    <row r="46">
      <c r="A46" s="17" t="s">
        <v>17</v>
      </c>
      <c r="B46" s="17">
        <v>200.0</v>
      </c>
      <c r="C46" s="17">
        <v>5000.0</v>
      </c>
      <c r="D46" s="17">
        <v>0.0</v>
      </c>
      <c r="E46" s="17">
        <v>199.8</v>
      </c>
      <c r="F46" s="17">
        <v>0.15</v>
      </c>
      <c r="G46" s="18">
        <v>0.0</v>
      </c>
      <c r="H46" s="17">
        <v>0.08</v>
      </c>
      <c r="I46" s="17">
        <v>199.4</v>
      </c>
      <c r="J46" s="17">
        <v>483.0</v>
      </c>
    </row>
    <row r="47">
      <c r="A47" s="17" t="s">
        <v>17</v>
      </c>
      <c r="B47" s="17">
        <v>300.0</v>
      </c>
      <c r="C47" s="17">
        <v>4996.0</v>
      </c>
      <c r="D47" s="17">
        <v>4.0</v>
      </c>
      <c r="E47" s="17">
        <v>298.4</v>
      </c>
      <c r="F47" s="17">
        <v>2.07</v>
      </c>
      <c r="G47" s="18">
        <v>0.07</v>
      </c>
      <c r="H47" s="17">
        <v>0.8</v>
      </c>
      <c r="I47" s="17">
        <v>266.5</v>
      </c>
      <c r="J47" s="17">
        <v>483.0</v>
      </c>
    </row>
    <row r="48">
      <c r="A48" s="17" t="s">
        <v>17</v>
      </c>
      <c r="B48" s="17">
        <v>400.0</v>
      </c>
      <c r="C48" s="17">
        <v>4996.0</v>
      </c>
      <c r="D48" s="17">
        <v>4.0</v>
      </c>
      <c r="E48" s="17">
        <v>371.5</v>
      </c>
      <c r="F48" s="17">
        <v>4.66</v>
      </c>
      <c r="G48" s="18">
        <v>0.1</v>
      </c>
      <c r="H48" s="17">
        <v>3.25</v>
      </c>
      <c r="I48" s="17">
        <v>288.4</v>
      </c>
      <c r="J48" s="17">
        <v>483.0</v>
      </c>
    </row>
    <row r="49">
      <c r="A49" s="17" t="s">
        <v>17</v>
      </c>
      <c r="B49" s="17">
        <v>500.0</v>
      </c>
      <c r="C49" s="17">
        <v>4992.0</v>
      </c>
      <c r="D49" s="17">
        <v>8.0</v>
      </c>
      <c r="E49" s="17">
        <v>422.9</v>
      </c>
      <c r="F49" s="17">
        <v>6.11</v>
      </c>
      <c r="G49" s="18">
        <v>0.11</v>
      </c>
      <c r="H49" s="17">
        <v>4.27</v>
      </c>
      <c r="I49" s="17">
        <v>295.2</v>
      </c>
      <c r="J49" s="17">
        <v>483.0</v>
      </c>
    </row>
    <row r="53">
      <c r="A53" s="17" t="s">
        <v>16</v>
      </c>
      <c r="B53" s="17">
        <v>500.0</v>
      </c>
      <c r="C53" s="17">
        <v>4994.0</v>
      </c>
      <c r="D53" s="17">
        <v>6.0</v>
      </c>
      <c r="E53" s="17">
        <v>495.2</v>
      </c>
      <c r="F53" s="17">
        <v>6.91</v>
      </c>
      <c r="G53" s="18">
        <v>0.1</v>
      </c>
      <c r="H53" s="17">
        <v>4.45</v>
      </c>
      <c r="I53" s="17">
        <v>294.8</v>
      </c>
      <c r="J53" s="17">
        <v>64.0</v>
      </c>
    </row>
    <row r="54">
      <c r="A54" s="16" t="s">
        <v>17</v>
      </c>
      <c r="B54" s="21">
        <v>500.0</v>
      </c>
      <c r="C54" s="21">
        <v>4990.0</v>
      </c>
      <c r="D54" s="21">
        <v>3.0</v>
      </c>
      <c r="E54" s="21">
        <v>482.4</v>
      </c>
      <c r="F54" s="21">
        <v>15.7</v>
      </c>
      <c r="G54" s="22">
        <v>0.67</v>
      </c>
      <c r="H54" s="21">
        <v>11.02</v>
      </c>
      <c r="I54" s="21">
        <v>193.4</v>
      </c>
    </row>
    <row r="55">
      <c r="A55" s="17" t="s">
        <v>12</v>
      </c>
      <c r="B55" s="17">
        <v>500.0</v>
      </c>
      <c r="C55" s="17">
        <v>5005.0</v>
      </c>
      <c r="D55" s="17">
        <v>5.0</v>
      </c>
      <c r="E55" s="17">
        <v>499.4</v>
      </c>
      <c r="F55" s="17">
        <v>0.26</v>
      </c>
      <c r="G55" s="18">
        <v>0.01</v>
      </c>
      <c r="H55" s="17">
        <v>0.09</v>
      </c>
      <c r="I55" s="17">
        <v>496.3</v>
      </c>
      <c r="J55" s="17">
        <v>41.0</v>
      </c>
    </row>
    <row r="56">
      <c r="A56" s="17" t="s">
        <v>11</v>
      </c>
      <c r="B56" s="17">
        <v>500.0</v>
      </c>
      <c r="C56" s="17">
        <v>4996.0</v>
      </c>
      <c r="D56" s="17">
        <v>4.0</v>
      </c>
      <c r="E56" s="17">
        <v>497.8</v>
      </c>
      <c r="F56" s="17">
        <v>9.21</v>
      </c>
      <c r="G56" s="18">
        <v>0.09</v>
      </c>
      <c r="H56" s="17">
        <v>6.48</v>
      </c>
      <c r="I56" s="17">
        <v>261.4</v>
      </c>
      <c r="J56" s="17">
        <v>35.0</v>
      </c>
    </row>
    <row r="57">
      <c r="A57" s="19" t="s">
        <v>14</v>
      </c>
      <c r="B57" s="22">
        <v>500.0</v>
      </c>
      <c r="C57" s="22">
        <v>4993.0</v>
      </c>
      <c r="D57" s="22">
        <v>7.0</v>
      </c>
      <c r="E57" s="20">
        <f>5/4*E56</f>
        <v>622.25</v>
      </c>
      <c r="F57" s="22">
        <v>70.15</v>
      </c>
      <c r="G57" s="22">
        <v>19.83</v>
      </c>
      <c r="H57" s="22">
        <v>62.74</v>
      </c>
      <c r="I57" s="22">
        <v>70.51</v>
      </c>
    </row>
    <row r="58">
      <c r="A58" s="16" t="s">
        <v>15</v>
      </c>
      <c r="B58" s="21">
        <v>500.0</v>
      </c>
      <c r="C58" s="21">
        <v>3346.0</v>
      </c>
      <c r="D58" s="21">
        <v>1654.0</v>
      </c>
      <c r="E58" s="21">
        <v>475.4</v>
      </c>
      <c r="F58" s="21">
        <v>12.56</v>
      </c>
      <c r="G58" s="21">
        <v>1.05</v>
      </c>
      <c r="H58" s="21">
        <v>10.8</v>
      </c>
      <c r="I58" s="21">
        <v>220.6</v>
      </c>
    </row>
    <row r="62">
      <c r="A62" s="16" t="s">
        <v>11</v>
      </c>
      <c r="B62" s="21">
        <v>100.0</v>
      </c>
      <c r="C62" s="21">
        <v>5000.0</v>
      </c>
      <c r="D62" s="21">
        <v>0.0</v>
      </c>
      <c r="E62" s="21">
        <v>100.0</v>
      </c>
      <c r="F62" s="21">
        <v>0.84</v>
      </c>
      <c r="G62" s="21">
        <v>-0.59</v>
      </c>
      <c r="H62" s="21">
        <v>0.1</v>
      </c>
      <c r="I62" s="21">
        <v>99.9</v>
      </c>
    </row>
    <row r="63">
      <c r="A63" s="16" t="s">
        <v>11</v>
      </c>
      <c r="B63" s="21">
        <v>200.0</v>
      </c>
      <c r="C63" s="21">
        <v>5000.0</v>
      </c>
      <c r="D63" s="21">
        <v>0.0</v>
      </c>
      <c r="E63" s="21">
        <v>199.9</v>
      </c>
      <c r="F63" s="21">
        <v>0.79</v>
      </c>
      <c r="G63" s="21">
        <v>-0.12</v>
      </c>
      <c r="H63" s="21">
        <v>0.1</v>
      </c>
      <c r="I63" s="21">
        <v>199.4</v>
      </c>
    </row>
    <row r="64">
      <c r="A64" s="16" t="s">
        <v>11</v>
      </c>
      <c r="B64" s="21">
        <v>300.0</v>
      </c>
      <c r="C64" s="21">
        <v>4996.0</v>
      </c>
      <c r="D64" s="21">
        <v>4.0</v>
      </c>
      <c r="E64" s="21">
        <v>300.0</v>
      </c>
      <c r="F64" s="21">
        <v>2.13</v>
      </c>
      <c r="G64" s="21">
        <v>0.07</v>
      </c>
      <c r="H64" s="21">
        <v>1.23</v>
      </c>
      <c r="I64" s="21">
        <v>267.1</v>
      </c>
    </row>
    <row r="65">
      <c r="A65" s="16" t="s">
        <v>11</v>
      </c>
      <c r="B65" s="21">
        <v>400.0</v>
      </c>
      <c r="C65" s="21">
        <v>4995.0</v>
      </c>
      <c r="D65" s="21">
        <v>5.0</v>
      </c>
      <c r="E65" s="21">
        <v>395.7</v>
      </c>
      <c r="F65" s="21">
        <v>5.27</v>
      </c>
      <c r="G65" s="21">
        <v>0.06</v>
      </c>
      <c r="H65" s="21">
        <v>3.55</v>
      </c>
      <c r="I65" s="21">
        <v>287.1</v>
      </c>
    </row>
    <row r="66">
      <c r="A66" s="16" t="s">
        <v>11</v>
      </c>
      <c r="B66" s="21">
        <v>500.0</v>
      </c>
      <c r="C66" s="21">
        <v>4996.0</v>
      </c>
      <c r="D66" s="21">
        <v>4.0</v>
      </c>
      <c r="E66" s="21">
        <v>497.2</v>
      </c>
      <c r="F66" s="21">
        <v>8.2</v>
      </c>
      <c r="G66" s="21">
        <v>0.09</v>
      </c>
      <c r="H66" s="21">
        <v>5.39</v>
      </c>
      <c r="I66" s="21">
        <v>275.0</v>
      </c>
    </row>
    <row r="67">
      <c r="A67" s="16" t="s">
        <v>12</v>
      </c>
      <c r="B67" s="21">
        <v>100.0</v>
      </c>
      <c r="C67" s="21">
        <v>5010.0</v>
      </c>
      <c r="D67" s="21">
        <v>0.0</v>
      </c>
      <c r="E67" s="21">
        <v>100.2</v>
      </c>
      <c r="F67" s="21">
        <v>2.05</v>
      </c>
      <c r="G67" s="21">
        <v>-0.01</v>
      </c>
      <c r="H67" s="21">
        <v>0.07</v>
      </c>
      <c r="I67" s="21">
        <v>96.3</v>
      </c>
    </row>
    <row r="68">
      <c r="A68" s="16" t="s">
        <v>12</v>
      </c>
      <c r="B68" s="21">
        <v>200.0</v>
      </c>
      <c r="C68" s="21">
        <v>5010.0</v>
      </c>
      <c r="D68" s="21">
        <v>0.0</v>
      </c>
      <c r="E68" s="21">
        <v>200.0</v>
      </c>
      <c r="F68" s="21">
        <v>2.05</v>
      </c>
      <c r="G68" s="21">
        <v>-0.6</v>
      </c>
      <c r="H68" s="21">
        <v>0.05</v>
      </c>
      <c r="I68" s="21">
        <v>185.3</v>
      </c>
    </row>
    <row r="69">
      <c r="A69" s="16" t="s">
        <v>12</v>
      </c>
      <c r="B69" s="21">
        <v>300.0</v>
      </c>
      <c r="C69" s="21">
        <v>5007.0</v>
      </c>
      <c r="D69" s="21">
        <v>3.0</v>
      </c>
      <c r="E69" s="21">
        <v>299.8</v>
      </c>
      <c r="F69" s="21">
        <v>2.08</v>
      </c>
      <c r="G69" s="21">
        <v>0.01</v>
      </c>
      <c r="H69" s="21">
        <v>0.05</v>
      </c>
      <c r="I69" s="21">
        <v>267.0</v>
      </c>
    </row>
    <row r="70">
      <c r="A70" s="16" t="s">
        <v>12</v>
      </c>
      <c r="B70" s="21">
        <v>400.0</v>
      </c>
      <c r="C70" s="21">
        <v>5006.0</v>
      </c>
      <c r="D70" s="21">
        <v>4.0</v>
      </c>
      <c r="E70" s="21">
        <v>399.8</v>
      </c>
      <c r="F70" s="21">
        <v>1.38</v>
      </c>
      <c r="G70" s="21">
        <v>0.01</v>
      </c>
      <c r="H70" s="21">
        <v>0.06</v>
      </c>
      <c r="I70" s="21">
        <v>360.2</v>
      </c>
    </row>
    <row r="71">
      <c r="A71" s="16" t="s">
        <v>12</v>
      </c>
      <c r="B71" s="21">
        <v>500.0</v>
      </c>
      <c r="C71" s="21">
        <v>5017.0</v>
      </c>
      <c r="D71" s="21">
        <v>1.0</v>
      </c>
      <c r="E71" s="21">
        <v>500.3</v>
      </c>
      <c r="F71" s="21">
        <v>2.06</v>
      </c>
      <c r="G71" s="21">
        <v>0.01</v>
      </c>
      <c r="H71" s="21">
        <v>0.08</v>
      </c>
      <c r="I71" s="21">
        <v>415.2</v>
      </c>
    </row>
    <row r="72">
      <c r="A72" s="16" t="s">
        <v>14</v>
      </c>
      <c r="B72" s="21">
        <v>100.0</v>
      </c>
      <c r="C72" s="21">
        <v>5000.0</v>
      </c>
      <c r="D72" s="21">
        <v>0.0</v>
      </c>
      <c r="E72" s="21">
        <v>99.9</v>
      </c>
      <c r="F72" s="21">
        <v>6.0</v>
      </c>
      <c r="G72" s="21">
        <v>-0.48</v>
      </c>
      <c r="H72" s="21">
        <v>1.82</v>
      </c>
      <c r="I72" s="21">
        <v>89.9</v>
      </c>
    </row>
    <row r="73">
      <c r="A73" s="16" t="s">
        <v>14</v>
      </c>
      <c r="B73" s="21">
        <v>200.0</v>
      </c>
      <c r="C73" s="21">
        <v>5000.0</v>
      </c>
      <c r="D73" s="21">
        <v>0.0</v>
      </c>
      <c r="E73" s="21">
        <v>199.7</v>
      </c>
      <c r="F73" s="21">
        <v>41.81</v>
      </c>
      <c r="G73" s="21">
        <v>0.21</v>
      </c>
      <c r="H73" s="21">
        <v>22.51</v>
      </c>
      <c r="I73" s="21">
        <v>75.3</v>
      </c>
    </row>
    <row r="74">
      <c r="A74" s="16" t="s">
        <v>14</v>
      </c>
      <c r="B74" s="21">
        <v>300.0</v>
      </c>
      <c r="C74" s="21">
        <v>4996.0</v>
      </c>
      <c r="D74" s="21">
        <v>4.0</v>
      </c>
      <c r="E74" s="21">
        <v>298.0</v>
      </c>
      <c r="F74" s="21">
        <v>55.67</v>
      </c>
      <c r="G74" s="21">
        <v>0.23</v>
      </c>
      <c r="H74" s="21">
        <v>31.71</v>
      </c>
      <c r="I74" s="21">
        <v>69.4</v>
      </c>
    </row>
    <row r="75">
      <c r="A75" s="16" t="s">
        <v>14</v>
      </c>
      <c r="B75" s="21">
        <v>400.0</v>
      </c>
      <c r="C75" s="21">
        <v>4994.0</v>
      </c>
      <c r="D75" s="21">
        <v>6.0</v>
      </c>
      <c r="E75" s="21">
        <v>399.0</v>
      </c>
      <c r="F75" s="21">
        <v>66.5</v>
      </c>
      <c r="G75" s="21">
        <v>0.69</v>
      </c>
      <c r="H75" s="21">
        <v>39.11</v>
      </c>
      <c r="I75" s="21">
        <v>65.0</v>
      </c>
    </row>
    <row r="76">
      <c r="A76" s="16" t="s">
        <v>14</v>
      </c>
      <c r="B76" s="21">
        <v>500.0</v>
      </c>
      <c r="C76" s="21">
        <v>4995.0</v>
      </c>
      <c r="D76" s="21">
        <v>5.0</v>
      </c>
      <c r="E76" s="21">
        <v>497.7</v>
      </c>
      <c r="F76" s="21">
        <v>55.42</v>
      </c>
      <c r="G76" s="21">
        <v>1.7</v>
      </c>
      <c r="H76" s="21">
        <v>29.24</v>
      </c>
      <c r="I76" s="21">
        <v>78.6</v>
      </c>
    </row>
    <row r="77">
      <c r="A77" s="16" t="s">
        <v>37</v>
      </c>
      <c r="B77" s="21">
        <v>100.0</v>
      </c>
      <c r="C77" s="21">
        <v>5000.0</v>
      </c>
      <c r="D77" s="21">
        <v>0.0</v>
      </c>
      <c r="E77" s="21">
        <v>100.0</v>
      </c>
      <c r="F77" s="21">
        <v>0.04</v>
      </c>
      <c r="G77" s="21">
        <v>-0.15</v>
      </c>
      <c r="H77" s="21">
        <v>0.01</v>
      </c>
      <c r="I77" s="21">
        <v>100.0</v>
      </c>
    </row>
    <row r="78">
      <c r="A78" s="16" t="s">
        <v>37</v>
      </c>
      <c r="B78" s="21">
        <v>200.0</v>
      </c>
      <c r="C78" s="21">
        <v>5000.0</v>
      </c>
      <c r="D78" s="21">
        <v>0.0</v>
      </c>
      <c r="E78" s="21">
        <v>200.1</v>
      </c>
      <c r="F78" s="21">
        <v>0.04</v>
      </c>
      <c r="G78" s="21">
        <v>-0.12</v>
      </c>
      <c r="H78" s="21">
        <v>0.01</v>
      </c>
      <c r="I78" s="21">
        <v>200.0</v>
      </c>
    </row>
    <row r="79">
      <c r="A79" s="16" t="s">
        <v>37</v>
      </c>
      <c r="B79" s="21">
        <v>300.0</v>
      </c>
      <c r="C79" s="21">
        <v>4997.0</v>
      </c>
      <c r="D79" s="21">
        <v>0.0</v>
      </c>
      <c r="E79" s="21">
        <v>288.9</v>
      </c>
      <c r="F79" s="21">
        <v>0.04</v>
      </c>
      <c r="G79" s="21">
        <v>-0.66</v>
      </c>
      <c r="H79" s="21">
        <v>0.01</v>
      </c>
      <c r="I79" s="21">
        <v>288.7</v>
      </c>
    </row>
    <row r="80">
      <c r="A80" s="16" t="s">
        <v>37</v>
      </c>
      <c r="B80" s="21">
        <v>400.0</v>
      </c>
      <c r="C80" s="21">
        <v>5000.0</v>
      </c>
      <c r="D80" s="21">
        <v>0.0</v>
      </c>
      <c r="E80" s="21">
        <v>397.4</v>
      </c>
      <c r="F80" s="21">
        <v>0.1</v>
      </c>
      <c r="G80" s="21">
        <v>0.01</v>
      </c>
      <c r="H80" s="21">
        <v>0.02</v>
      </c>
      <c r="I80" s="21">
        <v>397.1</v>
      </c>
    </row>
    <row r="81">
      <c r="A81" s="16" t="s">
        <v>37</v>
      </c>
      <c r="B81" s="21">
        <v>500.0</v>
      </c>
      <c r="C81" s="21">
        <v>5000.0</v>
      </c>
      <c r="D81" s="21">
        <v>0.0</v>
      </c>
      <c r="E81" s="21">
        <v>497.4</v>
      </c>
      <c r="F81" s="21">
        <v>0.11</v>
      </c>
      <c r="G81" s="21">
        <v>0.01</v>
      </c>
      <c r="H81" s="21">
        <v>0.02</v>
      </c>
      <c r="I81" s="21">
        <v>497.0</v>
      </c>
    </row>
    <row r="82">
      <c r="A82" s="16" t="s">
        <v>15</v>
      </c>
      <c r="B82" s="21">
        <v>100.0</v>
      </c>
      <c r="C82" s="21">
        <v>3348.0</v>
      </c>
      <c r="D82" s="21">
        <v>1652.0</v>
      </c>
      <c r="E82" s="21">
        <v>100.0</v>
      </c>
      <c r="F82" s="21">
        <v>2.13</v>
      </c>
      <c r="G82" s="21">
        <v>-0.78</v>
      </c>
      <c r="H82" s="21">
        <v>0.42</v>
      </c>
      <c r="I82" s="21">
        <v>96.1</v>
      </c>
    </row>
    <row r="83">
      <c r="A83" s="16" t="s">
        <v>15</v>
      </c>
      <c r="B83" s="21">
        <v>200.0</v>
      </c>
      <c r="C83" s="21">
        <v>3341.0</v>
      </c>
      <c r="D83" s="21">
        <v>1659.0</v>
      </c>
      <c r="E83" s="21">
        <v>199.7</v>
      </c>
      <c r="F83" s="21">
        <v>11.1</v>
      </c>
      <c r="G83" s="21">
        <v>0.19</v>
      </c>
      <c r="H83" s="21">
        <v>6.61</v>
      </c>
      <c r="I83" s="21">
        <v>139.1</v>
      </c>
    </row>
    <row r="84">
      <c r="A84" s="16" t="s">
        <v>15</v>
      </c>
      <c r="B84" s="21">
        <v>300.0</v>
      </c>
      <c r="C84" s="21">
        <v>3348.0</v>
      </c>
      <c r="D84" s="21">
        <v>1652.0</v>
      </c>
      <c r="E84" s="21">
        <v>299.1</v>
      </c>
      <c r="F84" s="21">
        <v>22.47</v>
      </c>
      <c r="G84" s="21">
        <v>0.39</v>
      </c>
      <c r="H84" s="21">
        <v>11.59</v>
      </c>
      <c r="I84" s="21">
        <v>128.7</v>
      </c>
    </row>
    <row r="85">
      <c r="A85" s="16" t="s">
        <v>15</v>
      </c>
      <c r="B85" s="21">
        <v>400.0</v>
      </c>
      <c r="C85" s="21">
        <v>3397.0</v>
      </c>
      <c r="D85" s="21">
        <v>1603.0</v>
      </c>
      <c r="E85" s="21">
        <v>398.2</v>
      </c>
      <c r="F85" s="21">
        <v>10.94</v>
      </c>
      <c r="G85" s="21">
        <v>0.35</v>
      </c>
      <c r="H85" s="21">
        <v>7.94</v>
      </c>
      <c r="I85" s="21">
        <v>230.5</v>
      </c>
    </row>
    <row r="86">
      <c r="A86" s="16" t="s">
        <v>15</v>
      </c>
      <c r="B86" s="21">
        <v>500.0</v>
      </c>
      <c r="C86" s="21">
        <v>3368.0</v>
      </c>
      <c r="D86" s="21">
        <v>1632.0</v>
      </c>
      <c r="E86" s="21">
        <v>496.4</v>
      </c>
      <c r="F86" s="21">
        <v>7.32</v>
      </c>
      <c r="G86" s="21">
        <v>0.11</v>
      </c>
      <c r="H86" s="21">
        <v>4.76</v>
      </c>
      <c r="I86" s="21">
        <v>288.5</v>
      </c>
    </row>
    <row r="87">
      <c r="A87" s="16" t="s">
        <v>16</v>
      </c>
      <c r="B87" s="21">
        <v>100.0</v>
      </c>
      <c r="C87" s="21">
        <v>5000.0</v>
      </c>
      <c r="D87" s="21">
        <v>0.0</v>
      </c>
      <c r="E87" s="21">
        <v>100.0</v>
      </c>
      <c r="F87" s="21">
        <v>0.17</v>
      </c>
      <c r="G87" s="21">
        <v>-0.64</v>
      </c>
      <c r="H87" s="21">
        <v>0.09</v>
      </c>
      <c r="I87" s="21">
        <v>99.9</v>
      </c>
    </row>
    <row r="88">
      <c r="A88" s="16" t="s">
        <v>16</v>
      </c>
      <c r="B88" s="21">
        <v>200.0</v>
      </c>
      <c r="C88" s="21">
        <v>5000.0</v>
      </c>
      <c r="D88" s="21">
        <v>0.0</v>
      </c>
      <c r="E88" s="21">
        <v>199.9</v>
      </c>
      <c r="F88" s="21">
        <v>0.21</v>
      </c>
      <c r="G88" s="21">
        <v>0.05</v>
      </c>
      <c r="H88" s="21">
        <v>0.09</v>
      </c>
      <c r="I88" s="21">
        <v>199.5</v>
      </c>
    </row>
    <row r="89">
      <c r="A89" s="16" t="s">
        <v>16</v>
      </c>
      <c r="B89" s="21">
        <v>300.0</v>
      </c>
      <c r="C89" s="21">
        <v>4996.0</v>
      </c>
      <c r="D89" s="21">
        <v>4.0</v>
      </c>
      <c r="E89" s="21">
        <v>299.4</v>
      </c>
      <c r="F89" s="21">
        <v>2.08</v>
      </c>
      <c r="G89" s="21">
        <v>-0.32</v>
      </c>
      <c r="H89" s="21">
        <v>0.11</v>
      </c>
      <c r="I89" s="21">
        <v>266.8</v>
      </c>
    </row>
    <row r="90">
      <c r="A90" s="16" t="s">
        <v>16</v>
      </c>
      <c r="B90" s="21">
        <v>400.0</v>
      </c>
      <c r="C90" s="21">
        <v>4996.0</v>
      </c>
      <c r="D90" s="21">
        <v>4.0</v>
      </c>
      <c r="E90" s="21">
        <v>398.4</v>
      </c>
      <c r="F90" s="21">
        <v>5.04</v>
      </c>
      <c r="G90" s="21">
        <v>0.08</v>
      </c>
      <c r="H90" s="21">
        <v>3.0</v>
      </c>
      <c r="I90" s="21">
        <v>288.4</v>
      </c>
    </row>
    <row r="91">
      <c r="A91" s="16" t="s">
        <v>16</v>
      </c>
      <c r="B91" s="21">
        <v>500.0</v>
      </c>
      <c r="C91" s="21">
        <v>4997.0</v>
      </c>
      <c r="D91" s="21">
        <v>3.0</v>
      </c>
      <c r="E91" s="21">
        <v>499.8</v>
      </c>
      <c r="F91" s="21">
        <v>6.55</v>
      </c>
      <c r="G91" s="21">
        <v>0.08</v>
      </c>
      <c r="H91" s="21">
        <v>4.26</v>
      </c>
      <c r="I91" s="21">
        <v>302.5</v>
      </c>
    </row>
    <row r="92">
      <c r="A92" s="16" t="s">
        <v>17</v>
      </c>
      <c r="B92" s="21">
        <v>100.0</v>
      </c>
      <c r="C92" s="21">
        <v>5000.0</v>
      </c>
      <c r="D92" s="21">
        <v>0.0</v>
      </c>
      <c r="E92" s="21">
        <v>99.9</v>
      </c>
      <c r="F92" s="21">
        <v>0.38</v>
      </c>
      <c r="G92" s="21">
        <v>-0.17</v>
      </c>
      <c r="H92" s="21">
        <v>0.09</v>
      </c>
      <c r="I92" s="21">
        <v>99.8</v>
      </c>
    </row>
    <row r="93">
      <c r="A93" s="16" t="s">
        <v>17</v>
      </c>
      <c r="B93" s="21">
        <v>200.0</v>
      </c>
      <c r="C93" s="21">
        <v>4995.0</v>
      </c>
      <c r="D93" s="21">
        <v>0.0</v>
      </c>
      <c r="E93" s="21">
        <v>199.2</v>
      </c>
      <c r="F93" s="21">
        <v>0.71</v>
      </c>
      <c r="G93" s="21">
        <v>-0.69</v>
      </c>
      <c r="H93" s="21">
        <v>0.09</v>
      </c>
      <c r="I93" s="21">
        <v>198.9</v>
      </c>
    </row>
    <row r="94">
      <c r="A94" s="16" t="s">
        <v>17</v>
      </c>
      <c r="B94" s="21">
        <v>300.0</v>
      </c>
      <c r="C94" s="21">
        <v>4999.0</v>
      </c>
      <c r="D94" s="21">
        <v>1.0</v>
      </c>
      <c r="E94" s="21">
        <v>299.4</v>
      </c>
      <c r="F94" s="21">
        <v>2.08</v>
      </c>
      <c r="G94" s="21">
        <v>0.05</v>
      </c>
      <c r="H94" s="21">
        <v>0.12</v>
      </c>
      <c r="I94" s="21">
        <v>267.1</v>
      </c>
    </row>
    <row r="95">
      <c r="A95" s="16" t="s">
        <v>17</v>
      </c>
      <c r="B95" s="21">
        <v>400.0</v>
      </c>
      <c r="C95" s="21">
        <v>4997.0</v>
      </c>
      <c r="D95" s="21">
        <v>3.0</v>
      </c>
      <c r="E95" s="21">
        <v>398.7</v>
      </c>
      <c r="F95" s="21">
        <v>6.51</v>
      </c>
      <c r="G95" s="21">
        <v>0.11</v>
      </c>
      <c r="H95" s="21">
        <v>4.75</v>
      </c>
      <c r="I95" s="21">
        <v>274.9</v>
      </c>
    </row>
    <row r="96">
      <c r="A96" s="16" t="s">
        <v>17</v>
      </c>
      <c r="B96" s="21">
        <v>500.0</v>
      </c>
      <c r="C96" s="21">
        <v>4986.0</v>
      </c>
      <c r="D96" s="21">
        <v>14.0</v>
      </c>
      <c r="E96" s="21">
        <v>470.6</v>
      </c>
      <c r="F96" s="21">
        <v>5.81</v>
      </c>
      <c r="G96" s="21">
        <v>0.09</v>
      </c>
      <c r="H96" s="21">
        <v>3.85</v>
      </c>
      <c r="I96" s="21">
        <v>308.2</v>
      </c>
    </row>
    <row r="101">
      <c r="A101" s="16" t="s">
        <v>11</v>
      </c>
      <c r="B101" s="21">
        <v>100.0</v>
      </c>
      <c r="C101" s="21">
        <v>5000.0</v>
      </c>
      <c r="D101" s="21">
        <v>0.0</v>
      </c>
      <c r="E101" s="21">
        <v>100.0</v>
      </c>
      <c r="F101" s="21">
        <v>0.84</v>
      </c>
      <c r="G101" s="21">
        <v>-0.73</v>
      </c>
      <c r="H101" s="21">
        <v>0.32</v>
      </c>
      <c r="I101" s="21">
        <v>99.6</v>
      </c>
    </row>
    <row r="102">
      <c r="A102" s="16" t="s">
        <v>11</v>
      </c>
      <c r="B102" s="21">
        <v>200.0</v>
      </c>
      <c r="C102" s="21">
        <v>5000.0</v>
      </c>
      <c r="D102" s="21">
        <v>0.0</v>
      </c>
      <c r="E102" s="21">
        <v>199.6</v>
      </c>
      <c r="F102" s="21">
        <v>18.29</v>
      </c>
      <c r="G102" s="21">
        <v>0.14</v>
      </c>
      <c r="H102" s="21">
        <v>9.34</v>
      </c>
      <c r="I102" s="21">
        <v>115.7</v>
      </c>
    </row>
    <row r="103">
      <c r="A103" s="16" t="s">
        <v>11</v>
      </c>
      <c r="B103" s="21">
        <v>300.0</v>
      </c>
      <c r="C103" s="21">
        <v>4998.0</v>
      </c>
      <c r="D103" s="21">
        <v>2.0</v>
      </c>
      <c r="E103" s="21">
        <v>299.7</v>
      </c>
      <c r="F103" s="21">
        <v>27.53</v>
      </c>
      <c r="G103" s="21">
        <v>0.18</v>
      </c>
      <c r="H103" s="21">
        <v>13.86</v>
      </c>
      <c r="I103" s="21">
        <v>114.2</v>
      </c>
    </row>
    <row r="104">
      <c r="A104" s="16" t="s">
        <v>11</v>
      </c>
      <c r="B104" s="21">
        <v>400.0</v>
      </c>
      <c r="C104" s="21">
        <v>4995.0</v>
      </c>
      <c r="D104" s="21">
        <v>5.0</v>
      </c>
      <c r="E104" s="21">
        <v>399.9</v>
      </c>
      <c r="F104" s="21">
        <v>32.35</v>
      </c>
      <c r="G104" s="21">
        <v>0.16</v>
      </c>
      <c r="H104" s="21">
        <v>16.06</v>
      </c>
      <c r="I104" s="21">
        <v>113.5</v>
      </c>
    </row>
    <row r="105">
      <c r="A105" s="16" t="s">
        <v>11</v>
      </c>
      <c r="B105" s="21">
        <v>500.0</v>
      </c>
      <c r="C105" s="21">
        <v>4996.0</v>
      </c>
      <c r="D105" s="21">
        <v>4.0</v>
      </c>
      <c r="E105" s="21">
        <v>496.8</v>
      </c>
      <c r="F105" s="21">
        <v>34.9</v>
      </c>
      <c r="G105" s="21">
        <v>0.18</v>
      </c>
      <c r="H105" s="21">
        <v>17.98</v>
      </c>
      <c r="I105" s="21">
        <v>111.4</v>
      </c>
    </row>
    <row r="106">
      <c r="A106" s="16" t="s">
        <v>12</v>
      </c>
      <c r="B106" s="21">
        <v>100.0</v>
      </c>
      <c r="C106" s="21">
        <v>5010.0</v>
      </c>
      <c r="D106" s="21">
        <v>0.0</v>
      </c>
      <c r="E106" s="21">
        <v>100.1</v>
      </c>
      <c r="F106" s="21">
        <v>2.05</v>
      </c>
      <c r="G106" s="21">
        <v>-0.43</v>
      </c>
      <c r="H106" s="21">
        <v>0.09</v>
      </c>
      <c r="I106" s="21">
        <v>96.3</v>
      </c>
    </row>
    <row r="107">
      <c r="A107" s="16" t="s">
        <v>12</v>
      </c>
      <c r="B107" s="21">
        <v>200.0</v>
      </c>
      <c r="C107" s="21">
        <v>5010.0</v>
      </c>
      <c r="D107" s="21">
        <v>0.0</v>
      </c>
      <c r="E107" s="21">
        <v>200.4</v>
      </c>
      <c r="F107" s="21">
        <v>1.57</v>
      </c>
      <c r="G107" s="21">
        <v>-0.68</v>
      </c>
      <c r="H107" s="21">
        <v>0.04</v>
      </c>
      <c r="I107" s="21">
        <v>188.5</v>
      </c>
    </row>
    <row r="108">
      <c r="A108" s="16" t="s">
        <v>12</v>
      </c>
      <c r="B108" s="21">
        <v>300.0</v>
      </c>
      <c r="C108" s="21">
        <v>5007.0</v>
      </c>
      <c r="D108" s="21">
        <v>3.0</v>
      </c>
      <c r="E108" s="21">
        <v>298.6</v>
      </c>
      <c r="F108" s="21">
        <v>2.05</v>
      </c>
      <c r="G108" s="21">
        <v>-0.31</v>
      </c>
      <c r="H108" s="21">
        <v>0.05</v>
      </c>
      <c r="I108" s="21">
        <v>266.1</v>
      </c>
    </row>
    <row r="109">
      <c r="A109" s="16" t="s">
        <v>12</v>
      </c>
      <c r="B109" s="21">
        <v>400.0</v>
      </c>
      <c r="C109" s="21">
        <v>5009.0</v>
      </c>
      <c r="D109" s="21">
        <v>1.0</v>
      </c>
      <c r="E109" s="21">
        <v>400.3</v>
      </c>
      <c r="F109" s="21">
        <v>2.06</v>
      </c>
      <c r="G109" s="21">
        <v>0.01</v>
      </c>
      <c r="H109" s="21">
        <v>0.06</v>
      </c>
      <c r="I109" s="21">
        <v>343.9</v>
      </c>
    </row>
    <row r="110">
      <c r="A110" s="16" t="s">
        <v>12</v>
      </c>
      <c r="B110" s="21">
        <v>500.0</v>
      </c>
      <c r="C110" s="21">
        <v>5013.0</v>
      </c>
      <c r="D110" s="21">
        <v>3.0</v>
      </c>
      <c r="E110" s="21">
        <v>493.4</v>
      </c>
      <c r="F110" s="21">
        <v>2.07</v>
      </c>
      <c r="G110" s="21">
        <v>0.01</v>
      </c>
      <c r="H110" s="21">
        <v>0.08</v>
      </c>
      <c r="I110" s="21">
        <v>411.9</v>
      </c>
    </row>
    <row r="111">
      <c r="A111" s="16" t="s">
        <v>14</v>
      </c>
      <c r="B111" s="21">
        <v>100.0</v>
      </c>
      <c r="C111" s="21">
        <v>5000.0</v>
      </c>
      <c r="D111" s="21">
        <v>0.0</v>
      </c>
      <c r="E111" s="21">
        <v>100.0</v>
      </c>
      <c r="F111" s="21">
        <v>14.97</v>
      </c>
      <c r="G111" s="21">
        <v>-0.32</v>
      </c>
      <c r="H111" s="21">
        <v>5.44</v>
      </c>
      <c r="I111" s="21">
        <v>77.3</v>
      </c>
    </row>
    <row r="112">
      <c r="A112" s="16" t="s">
        <v>14</v>
      </c>
      <c r="B112" s="21">
        <v>200.0</v>
      </c>
      <c r="C112" s="21">
        <v>5000.0</v>
      </c>
      <c r="D112" s="21">
        <v>0.0</v>
      </c>
      <c r="E112" s="21">
        <v>200.0</v>
      </c>
      <c r="F112" s="21">
        <v>47.07</v>
      </c>
      <c r="G112" s="21">
        <v>-0.12</v>
      </c>
      <c r="H112" s="21">
        <v>24.08</v>
      </c>
      <c r="I112" s="21">
        <v>70.0</v>
      </c>
    </row>
    <row r="113">
      <c r="A113" s="16" t="s">
        <v>14</v>
      </c>
      <c r="B113" s="21">
        <v>300.0</v>
      </c>
      <c r="C113" s="21">
        <v>4998.0</v>
      </c>
      <c r="D113" s="21">
        <v>2.0</v>
      </c>
      <c r="E113" s="21">
        <v>299.8</v>
      </c>
      <c r="F113" s="21">
        <v>72.09</v>
      </c>
      <c r="G113" s="21">
        <v>0.29</v>
      </c>
      <c r="H113" s="21">
        <v>41.14</v>
      </c>
      <c r="I113" s="21">
        <v>57.7</v>
      </c>
    </row>
    <row r="114">
      <c r="A114" s="16" t="s">
        <v>14</v>
      </c>
      <c r="B114" s="21">
        <v>400.0</v>
      </c>
      <c r="C114" s="21">
        <v>4994.0</v>
      </c>
      <c r="D114" s="21">
        <v>6.0</v>
      </c>
      <c r="E114" s="21">
        <v>397.5</v>
      </c>
      <c r="F114" s="21">
        <v>72.43</v>
      </c>
      <c r="G114" s="21">
        <v>0.75</v>
      </c>
      <c r="H114" s="21">
        <v>40.56</v>
      </c>
      <c r="I114" s="21">
        <v>59.6</v>
      </c>
    </row>
    <row r="115">
      <c r="A115" s="16" t="s">
        <v>14</v>
      </c>
      <c r="B115" s="21">
        <v>500.0</v>
      </c>
      <c r="C115" s="21">
        <v>4994.0</v>
      </c>
      <c r="D115" s="21">
        <v>6.0</v>
      </c>
      <c r="E115" s="21">
        <v>492.3</v>
      </c>
      <c r="F115" s="21">
        <v>85.66</v>
      </c>
      <c r="G115" s="21">
        <v>1.27</v>
      </c>
      <c r="H115" s="21">
        <v>45.62</v>
      </c>
      <c r="I115" s="21">
        <v>53.3</v>
      </c>
    </row>
    <row r="116">
      <c r="A116" s="16" t="s">
        <v>37</v>
      </c>
      <c r="B116" s="21">
        <v>100.0</v>
      </c>
      <c r="C116" s="21">
        <v>5000.0</v>
      </c>
      <c r="D116" s="21">
        <v>0.0</v>
      </c>
      <c r="E116" s="21">
        <v>100.0</v>
      </c>
      <c r="F116" s="21">
        <v>0.13</v>
      </c>
      <c r="G116" s="21">
        <v>-0.79</v>
      </c>
      <c r="H116" s="21">
        <v>0.01</v>
      </c>
      <c r="I116" s="21">
        <v>100.0</v>
      </c>
    </row>
    <row r="117">
      <c r="A117" s="16" t="s">
        <v>37</v>
      </c>
      <c r="B117" s="21">
        <v>200.0</v>
      </c>
      <c r="C117" s="21">
        <v>5000.0</v>
      </c>
      <c r="D117" s="21">
        <v>0.0</v>
      </c>
      <c r="E117" s="21">
        <v>200.0</v>
      </c>
      <c r="F117" s="21">
        <v>0.03</v>
      </c>
      <c r="G117" s="21">
        <v>-0.28</v>
      </c>
      <c r="H117" s="21">
        <v>0.01</v>
      </c>
      <c r="I117" s="21">
        <v>199.9</v>
      </c>
    </row>
    <row r="118">
      <c r="A118" s="16" t="s">
        <v>37</v>
      </c>
      <c r="B118" s="21">
        <v>300.0</v>
      </c>
      <c r="C118" s="21">
        <v>5000.0</v>
      </c>
      <c r="D118" s="21">
        <v>0.0</v>
      </c>
      <c r="E118" s="21">
        <v>299.2</v>
      </c>
      <c r="F118" s="21">
        <v>0.03</v>
      </c>
      <c r="G118" s="21">
        <v>0.01</v>
      </c>
      <c r="H118" s="21">
        <v>0.01</v>
      </c>
      <c r="I118" s="21">
        <v>299.1</v>
      </c>
    </row>
    <row r="119">
      <c r="A119" s="16" t="s">
        <v>37</v>
      </c>
      <c r="B119" s="21">
        <v>400.0</v>
      </c>
      <c r="C119" s="21">
        <v>5000.0</v>
      </c>
      <c r="D119" s="21">
        <v>0.0</v>
      </c>
      <c r="E119" s="21">
        <v>398.8</v>
      </c>
      <c r="F119" s="21">
        <v>0.04</v>
      </c>
      <c r="G119" s="21">
        <v>0.01</v>
      </c>
      <c r="H119" s="21">
        <v>0.01</v>
      </c>
      <c r="I119" s="21">
        <v>398.6</v>
      </c>
    </row>
    <row r="120">
      <c r="A120" s="16" t="s">
        <v>37</v>
      </c>
      <c r="B120" s="21">
        <v>500.0</v>
      </c>
      <c r="C120" s="21">
        <v>5000.0</v>
      </c>
      <c r="D120" s="21">
        <v>0.0</v>
      </c>
      <c r="E120" s="21">
        <v>499.2</v>
      </c>
      <c r="F120" s="21">
        <v>0.08</v>
      </c>
      <c r="G120" s="21">
        <v>0.01</v>
      </c>
      <c r="H120" s="21">
        <v>0.02</v>
      </c>
      <c r="I120" s="21">
        <v>498.9</v>
      </c>
    </row>
    <row r="121">
      <c r="A121" s="16" t="s">
        <v>15</v>
      </c>
      <c r="B121" s="21">
        <v>100.0</v>
      </c>
      <c r="C121" s="21">
        <v>3324.0</v>
      </c>
      <c r="D121" s="21">
        <v>1676.0</v>
      </c>
      <c r="E121" s="21">
        <v>100.0</v>
      </c>
      <c r="F121" s="21">
        <v>2.19</v>
      </c>
      <c r="G121" s="21">
        <v>-0.67</v>
      </c>
      <c r="H121" s="21">
        <v>0.28</v>
      </c>
      <c r="I121" s="21">
        <v>96.0</v>
      </c>
    </row>
    <row r="122">
      <c r="A122" s="16" t="s">
        <v>15</v>
      </c>
      <c r="B122" s="21">
        <v>200.0</v>
      </c>
      <c r="C122" s="21">
        <v>3379.0</v>
      </c>
      <c r="D122" s="21">
        <v>1621.0</v>
      </c>
      <c r="E122" s="21">
        <v>200.0</v>
      </c>
      <c r="F122" s="21">
        <v>12.78</v>
      </c>
      <c r="G122" s="21">
        <v>0.16</v>
      </c>
      <c r="H122" s="21">
        <v>7.01</v>
      </c>
      <c r="I122" s="21">
        <v>132.5</v>
      </c>
    </row>
    <row r="123">
      <c r="A123" s="16" t="s">
        <v>15</v>
      </c>
      <c r="B123" s="21">
        <v>300.0</v>
      </c>
      <c r="C123" s="21">
        <v>3355.0</v>
      </c>
      <c r="D123" s="21">
        <v>1645.0</v>
      </c>
      <c r="E123" s="21">
        <v>298.1</v>
      </c>
      <c r="F123" s="21">
        <v>25.85</v>
      </c>
      <c r="G123" s="21">
        <v>0.15</v>
      </c>
      <c r="H123" s="21">
        <v>12.14</v>
      </c>
      <c r="I123" s="21">
        <v>117.7</v>
      </c>
    </row>
    <row r="124">
      <c r="A124" s="16" t="s">
        <v>15</v>
      </c>
      <c r="B124" s="21">
        <v>400.0</v>
      </c>
      <c r="C124" s="21">
        <v>3319.0</v>
      </c>
      <c r="D124" s="21">
        <v>1681.0</v>
      </c>
      <c r="E124" s="21">
        <v>398.2</v>
      </c>
      <c r="F124" s="21">
        <v>27.95</v>
      </c>
      <c r="G124" s="21">
        <v>0.31</v>
      </c>
      <c r="H124" s="21">
        <v>13.07</v>
      </c>
      <c r="I124" s="21">
        <v>124.3</v>
      </c>
    </row>
    <row r="125">
      <c r="A125" s="16" t="s">
        <v>15</v>
      </c>
      <c r="B125" s="21">
        <v>500.0</v>
      </c>
      <c r="C125" s="21">
        <v>3343.0</v>
      </c>
      <c r="D125" s="21">
        <v>1657.0</v>
      </c>
      <c r="E125" s="21">
        <v>493.6</v>
      </c>
      <c r="F125" s="21">
        <v>31.45</v>
      </c>
      <c r="G125" s="21">
        <v>0.17</v>
      </c>
      <c r="H125" s="21">
        <v>14.11</v>
      </c>
      <c r="I125" s="21">
        <v>121.2</v>
      </c>
    </row>
    <row r="126">
      <c r="A126" s="16" t="s">
        <v>16</v>
      </c>
      <c r="B126" s="21">
        <v>100.0</v>
      </c>
      <c r="C126" s="21">
        <v>5000.0</v>
      </c>
      <c r="D126" s="21">
        <v>0.0</v>
      </c>
      <c r="E126" s="21">
        <v>100.1</v>
      </c>
      <c r="F126" s="21">
        <v>0.83</v>
      </c>
      <c r="G126" s="21">
        <v>-0.31</v>
      </c>
      <c r="H126" s="21">
        <v>0.11</v>
      </c>
      <c r="I126" s="21">
        <v>100.0</v>
      </c>
    </row>
    <row r="127">
      <c r="A127" s="16" t="s">
        <v>16</v>
      </c>
      <c r="B127" s="21">
        <v>100.0</v>
      </c>
      <c r="C127" s="21">
        <v>5000.0</v>
      </c>
      <c r="D127" s="21">
        <v>0.0</v>
      </c>
      <c r="E127" s="21">
        <v>100.0</v>
      </c>
      <c r="F127" s="21">
        <v>0.85</v>
      </c>
      <c r="G127" s="21">
        <v>-0.63</v>
      </c>
      <c r="H127" s="21">
        <v>0.1</v>
      </c>
      <c r="I127" s="21">
        <v>99.9</v>
      </c>
    </row>
    <row r="128">
      <c r="A128" s="16" t="s">
        <v>16</v>
      </c>
      <c r="B128" s="21">
        <v>200.0</v>
      </c>
      <c r="C128" s="21">
        <v>5000.0</v>
      </c>
      <c r="D128" s="21">
        <v>0.0</v>
      </c>
      <c r="E128" s="21">
        <v>200.0</v>
      </c>
      <c r="F128" s="21">
        <v>0.2</v>
      </c>
      <c r="G128" s="21">
        <v>0.04</v>
      </c>
      <c r="H128" s="21">
        <v>0.09</v>
      </c>
      <c r="I128" s="21">
        <v>199.6</v>
      </c>
    </row>
    <row r="129">
      <c r="A129" s="16" t="s">
        <v>16</v>
      </c>
      <c r="B129" s="21">
        <v>300.0</v>
      </c>
      <c r="C129" s="21">
        <v>4998.0</v>
      </c>
      <c r="D129" s="21">
        <v>2.0</v>
      </c>
      <c r="E129" s="21">
        <v>300.3</v>
      </c>
      <c r="F129" s="21">
        <v>2.08</v>
      </c>
      <c r="G129" s="21">
        <v>-0.07</v>
      </c>
      <c r="H129" s="21">
        <v>0.56</v>
      </c>
      <c r="I129" s="21">
        <v>267.1</v>
      </c>
    </row>
    <row r="130">
      <c r="A130" s="16" t="s">
        <v>16</v>
      </c>
      <c r="B130" s="21">
        <v>400.0</v>
      </c>
      <c r="C130" s="21">
        <v>4999.0</v>
      </c>
      <c r="D130" s="21">
        <v>1.0</v>
      </c>
      <c r="E130" s="21">
        <v>398.4</v>
      </c>
      <c r="F130" s="21">
        <v>4.87</v>
      </c>
      <c r="G130" s="21">
        <v>0.1</v>
      </c>
      <c r="H130" s="21">
        <v>3.55</v>
      </c>
      <c r="I130" s="21">
        <v>289.0</v>
      </c>
    </row>
    <row r="131">
      <c r="A131" s="16" t="s">
        <v>16</v>
      </c>
      <c r="B131" s="21">
        <v>500.0</v>
      </c>
      <c r="C131" s="21">
        <v>4996.0</v>
      </c>
      <c r="D131" s="21">
        <v>4.0</v>
      </c>
      <c r="E131" s="21">
        <v>498.6</v>
      </c>
      <c r="F131" s="21">
        <v>7.34</v>
      </c>
      <c r="G131" s="21">
        <v>0.15</v>
      </c>
      <c r="H131" s="21">
        <v>4.95</v>
      </c>
      <c r="I131" s="21">
        <v>290.0</v>
      </c>
    </row>
    <row r="132">
      <c r="A132" s="16" t="s">
        <v>17</v>
      </c>
      <c r="B132" s="21">
        <v>100.0</v>
      </c>
      <c r="C132" s="21">
        <v>5000.0</v>
      </c>
      <c r="D132" s="21">
        <v>0.0</v>
      </c>
      <c r="E132" s="21">
        <v>99.9</v>
      </c>
      <c r="F132" s="21">
        <v>1.0</v>
      </c>
      <c r="G132" s="21">
        <v>-0.85</v>
      </c>
      <c r="H132" s="21">
        <v>0.09</v>
      </c>
      <c r="I132" s="21">
        <v>99.8</v>
      </c>
    </row>
    <row r="133">
      <c r="A133" s="16" t="s">
        <v>17</v>
      </c>
      <c r="B133" s="21">
        <v>200.0</v>
      </c>
      <c r="C133" s="21">
        <v>5000.0</v>
      </c>
      <c r="D133" s="21">
        <v>0.0</v>
      </c>
      <c r="E133" s="21">
        <v>200.1</v>
      </c>
      <c r="F133" s="21">
        <v>0.74</v>
      </c>
      <c r="G133" s="21">
        <v>-0.53</v>
      </c>
      <c r="H133" s="21">
        <v>0.11</v>
      </c>
      <c r="I133" s="21">
        <v>199.5</v>
      </c>
    </row>
    <row r="134">
      <c r="A134" s="16" t="s">
        <v>17</v>
      </c>
      <c r="B134" s="21">
        <v>300.0</v>
      </c>
      <c r="C134" s="21">
        <v>4999.0</v>
      </c>
      <c r="D134" s="21">
        <v>1.0</v>
      </c>
      <c r="E134" s="21">
        <v>298.8</v>
      </c>
      <c r="F134" s="21">
        <v>2.08</v>
      </c>
      <c r="G134" s="21">
        <v>-0.39</v>
      </c>
      <c r="H134" s="21">
        <v>0.37</v>
      </c>
      <c r="I134" s="21">
        <v>267.0</v>
      </c>
    </row>
    <row r="135">
      <c r="A135" s="16" t="s">
        <v>17</v>
      </c>
      <c r="B135" s="21">
        <v>400.0</v>
      </c>
      <c r="C135" s="21">
        <v>4995.0</v>
      </c>
      <c r="D135" s="21">
        <v>5.0</v>
      </c>
      <c r="E135" s="21">
        <v>398.3</v>
      </c>
      <c r="F135" s="21">
        <v>4.07</v>
      </c>
      <c r="G135" s="21">
        <v>0.07</v>
      </c>
      <c r="H135" s="21">
        <v>2.74</v>
      </c>
      <c r="I135" s="21">
        <v>302.1</v>
      </c>
    </row>
    <row r="136">
      <c r="A136" s="16" t="s">
        <v>17</v>
      </c>
      <c r="B136" s="21">
        <v>500.0</v>
      </c>
      <c r="C136" s="21">
        <v>4973.0</v>
      </c>
      <c r="D136" s="21">
        <v>27.0</v>
      </c>
      <c r="E136" s="21">
        <v>486.0</v>
      </c>
      <c r="F136" s="21">
        <v>5.88</v>
      </c>
      <c r="G136" s="21">
        <v>0.09</v>
      </c>
      <c r="H136" s="21">
        <v>3.7</v>
      </c>
      <c r="I136" s="21">
        <v>314.8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41</v>
      </c>
    </row>
    <row r="2">
      <c r="A2" s="16" t="s">
        <v>11</v>
      </c>
      <c r="B2" s="21">
        <v>100.0</v>
      </c>
      <c r="C2" s="21">
        <v>5000.0</v>
      </c>
      <c r="D2" s="21">
        <v>0.0</v>
      </c>
      <c r="E2" s="21">
        <v>99.2</v>
      </c>
      <c r="F2" s="21">
        <v>38.01</v>
      </c>
      <c r="G2" s="21">
        <v>1.13</v>
      </c>
      <c r="H2" s="21">
        <v>21.84</v>
      </c>
      <c r="I2" s="21">
        <v>84.2</v>
      </c>
    </row>
    <row r="3">
      <c r="A3" s="16" t="s">
        <v>11</v>
      </c>
      <c r="B3" s="21">
        <v>200.0</v>
      </c>
      <c r="C3" s="21">
        <v>5000.0</v>
      </c>
      <c r="D3" s="21">
        <v>0.0</v>
      </c>
      <c r="E3" s="21">
        <v>198.2</v>
      </c>
      <c r="F3" s="21">
        <v>22.95</v>
      </c>
      <c r="G3" s="21">
        <v>1.29</v>
      </c>
      <c r="H3" s="21">
        <v>16.93</v>
      </c>
      <c r="I3" s="21">
        <v>136.1</v>
      </c>
    </row>
    <row r="4">
      <c r="A4" s="16" t="s">
        <v>11</v>
      </c>
      <c r="B4" s="21">
        <v>300.0</v>
      </c>
      <c r="C4" s="21">
        <v>4996.0</v>
      </c>
      <c r="D4" s="21">
        <v>4.0</v>
      </c>
      <c r="E4" s="21">
        <v>293.9</v>
      </c>
      <c r="F4" s="21">
        <v>16.98</v>
      </c>
      <c r="G4" s="21">
        <v>1.28</v>
      </c>
      <c r="H4" s="21">
        <v>14.11</v>
      </c>
      <c r="I4" s="21">
        <v>176.6</v>
      </c>
    </row>
    <row r="5">
      <c r="A5" s="16" t="s">
        <v>11</v>
      </c>
      <c r="B5" s="21">
        <v>400.0</v>
      </c>
      <c r="C5" s="21">
        <v>4996.0</v>
      </c>
      <c r="D5" s="21">
        <v>4.0</v>
      </c>
      <c r="E5" s="21">
        <v>384.3</v>
      </c>
      <c r="F5" s="21">
        <v>13.99</v>
      </c>
      <c r="G5" s="21">
        <v>1.32</v>
      </c>
      <c r="H5" s="21">
        <v>12.92</v>
      </c>
      <c r="I5" s="21">
        <v>195.7</v>
      </c>
    </row>
    <row r="6">
      <c r="A6" s="16" t="s">
        <v>11</v>
      </c>
      <c r="B6" s="21">
        <v>500.0</v>
      </c>
      <c r="C6" s="21">
        <v>4994.0</v>
      </c>
      <c r="D6" s="21">
        <v>6.0</v>
      </c>
      <c r="E6" s="21">
        <v>472.0</v>
      </c>
      <c r="F6" s="21">
        <v>14.03</v>
      </c>
      <c r="G6" s="21">
        <v>1.38</v>
      </c>
      <c r="H6" s="21">
        <v>12.07</v>
      </c>
      <c r="I6" s="21">
        <v>212.8</v>
      </c>
    </row>
    <row r="7">
      <c r="A7" s="16" t="s">
        <v>11</v>
      </c>
      <c r="B7" s="21">
        <v>600.0</v>
      </c>
      <c r="C7" s="21">
        <v>4994.0</v>
      </c>
      <c r="D7" s="21">
        <v>6.0</v>
      </c>
      <c r="E7" s="21">
        <v>572.1</v>
      </c>
      <c r="F7" s="21">
        <v>14.04</v>
      </c>
      <c r="G7" s="21">
        <v>1.26</v>
      </c>
      <c r="H7" s="21">
        <v>11.36</v>
      </c>
      <c r="I7" s="21">
        <v>228.4</v>
      </c>
    </row>
    <row r="8">
      <c r="A8" s="16" t="s">
        <v>12</v>
      </c>
      <c r="B8" s="21">
        <v>100.0</v>
      </c>
      <c r="C8" s="21">
        <v>5020.0</v>
      </c>
      <c r="D8" s="21">
        <v>0.0</v>
      </c>
      <c r="E8" s="21">
        <v>99.1</v>
      </c>
      <c r="F8" s="21">
        <v>0.91</v>
      </c>
      <c r="G8" s="21">
        <v>-0.09</v>
      </c>
      <c r="H8" s="21">
        <v>0.37</v>
      </c>
      <c r="I8" s="21">
        <v>98.6</v>
      </c>
    </row>
    <row r="9">
      <c r="A9" s="16" t="s">
        <v>12</v>
      </c>
      <c r="B9" s="21">
        <v>200.0</v>
      </c>
      <c r="C9" s="21">
        <v>5036.0</v>
      </c>
      <c r="D9" s="21">
        <v>0.0</v>
      </c>
      <c r="E9" s="21">
        <v>194.1</v>
      </c>
      <c r="F9" s="21">
        <v>7.69</v>
      </c>
      <c r="G9" s="21">
        <v>-1.06</v>
      </c>
      <c r="H9" s="21">
        <v>2.19</v>
      </c>
      <c r="I9" s="21">
        <v>179.0</v>
      </c>
    </row>
    <row r="10">
      <c r="A10" s="16" t="s">
        <v>12</v>
      </c>
      <c r="B10" s="21">
        <v>300.0</v>
      </c>
      <c r="C10" s="21">
        <v>5049.0</v>
      </c>
      <c r="D10" s="21">
        <v>3.0</v>
      </c>
      <c r="E10" s="21">
        <v>290.2</v>
      </c>
      <c r="F10" s="21">
        <v>7.15</v>
      </c>
      <c r="G10" s="21">
        <v>-0.93</v>
      </c>
      <c r="H10" s="21">
        <v>1.9</v>
      </c>
      <c r="I10" s="21">
        <v>253.7</v>
      </c>
    </row>
    <row r="11">
      <c r="A11" s="16" t="s">
        <v>12</v>
      </c>
      <c r="B11" s="21">
        <v>400.0</v>
      </c>
      <c r="C11" s="21">
        <v>5180.0</v>
      </c>
      <c r="D11" s="21">
        <v>2.0</v>
      </c>
      <c r="E11" s="21">
        <v>388.0</v>
      </c>
      <c r="F11" s="21">
        <v>3.08</v>
      </c>
      <c r="G11" s="21">
        <v>-0.72</v>
      </c>
      <c r="H11" s="21">
        <v>0.89</v>
      </c>
      <c r="I11" s="21">
        <v>328.8</v>
      </c>
    </row>
    <row r="12">
      <c r="A12" s="16" t="s">
        <v>12</v>
      </c>
      <c r="B12" s="21">
        <v>500.0</v>
      </c>
      <c r="C12" s="21">
        <v>5880.0</v>
      </c>
      <c r="D12" s="21">
        <v>8.0</v>
      </c>
      <c r="E12" s="21">
        <v>443.8</v>
      </c>
      <c r="F12" s="21">
        <v>5.63</v>
      </c>
      <c r="G12" s="22">
        <v>0.0</v>
      </c>
      <c r="H12" s="21">
        <v>1.79</v>
      </c>
      <c r="I12" s="21">
        <v>368.5</v>
      </c>
    </row>
    <row r="13">
      <c r="A13" s="16" t="s">
        <v>14</v>
      </c>
      <c r="B13" s="21">
        <v>100.0</v>
      </c>
      <c r="C13" s="21">
        <v>5000.0</v>
      </c>
      <c r="D13" s="21">
        <v>0.0</v>
      </c>
      <c r="E13" s="21">
        <v>99.5</v>
      </c>
      <c r="F13" s="21">
        <v>52.9</v>
      </c>
      <c r="G13" s="21">
        <v>6.52</v>
      </c>
      <c r="H13" s="21">
        <v>38.31</v>
      </c>
      <c r="I13" s="21">
        <v>66.4</v>
      </c>
    </row>
    <row r="14">
      <c r="A14" s="16" t="s">
        <v>14</v>
      </c>
      <c r="B14" s="21">
        <v>200.0</v>
      </c>
      <c r="C14" s="21">
        <v>5000.0</v>
      </c>
      <c r="D14" s="21">
        <v>0.0</v>
      </c>
      <c r="E14" s="21">
        <v>196.5</v>
      </c>
      <c r="F14" s="21">
        <v>62.35</v>
      </c>
      <c r="G14" s="21">
        <v>6.89</v>
      </c>
      <c r="H14" s="21">
        <v>53.36</v>
      </c>
      <c r="I14" s="21">
        <v>66.0</v>
      </c>
    </row>
    <row r="15">
      <c r="A15" s="16" t="s">
        <v>14</v>
      </c>
      <c r="B15" s="21">
        <v>200.0</v>
      </c>
      <c r="C15" s="21">
        <v>5000.0</v>
      </c>
      <c r="D15" s="21">
        <v>0.0</v>
      </c>
      <c r="E15" s="21">
        <v>198.5</v>
      </c>
      <c r="F15" s="21">
        <v>53.32</v>
      </c>
      <c r="G15" s="21">
        <v>8.43</v>
      </c>
      <c r="H15" s="21">
        <v>41.68</v>
      </c>
      <c r="I15" s="21">
        <v>77.5</v>
      </c>
    </row>
    <row r="16">
      <c r="A16" s="16" t="s">
        <v>14</v>
      </c>
      <c r="B16" s="21">
        <v>300.0</v>
      </c>
      <c r="C16" s="21">
        <v>4996.0</v>
      </c>
      <c r="D16" s="21">
        <v>4.0</v>
      </c>
      <c r="E16" s="21">
        <v>295.7</v>
      </c>
      <c r="F16" s="21">
        <v>63.99</v>
      </c>
      <c r="G16" s="21">
        <v>12.83</v>
      </c>
      <c r="H16" s="21">
        <v>54.08</v>
      </c>
      <c r="I16" s="21">
        <v>68.8</v>
      </c>
    </row>
    <row r="17">
      <c r="A17" s="16" t="s">
        <v>14</v>
      </c>
      <c r="B17" s="21">
        <v>400.0</v>
      </c>
      <c r="C17" s="21">
        <v>4995.0</v>
      </c>
      <c r="D17" s="21">
        <v>5.0</v>
      </c>
      <c r="E17" s="21">
        <v>389.1</v>
      </c>
      <c r="F17" s="21">
        <v>68.15</v>
      </c>
      <c r="G17" s="21">
        <v>16.37</v>
      </c>
      <c r="H17" s="21">
        <v>57.11</v>
      </c>
      <c r="I17" s="21">
        <v>68.3</v>
      </c>
    </row>
    <row r="18">
      <c r="A18" s="16" t="s">
        <v>14</v>
      </c>
      <c r="B18" s="21">
        <v>500.0</v>
      </c>
      <c r="C18" s="21">
        <v>4993.0</v>
      </c>
      <c r="D18" s="21">
        <v>7.0</v>
      </c>
      <c r="E18" s="21">
        <f>5/4*E17</f>
        <v>486.375</v>
      </c>
      <c r="F18" s="21">
        <v>70.15</v>
      </c>
      <c r="G18" s="21">
        <v>19.83</v>
      </c>
      <c r="H18" s="21">
        <v>62.74</v>
      </c>
      <c r="I18" s="21">
        <v>70.51</v>
      </c>
    </row>
    <row r="19">
      <c r="A19" s="16" t="s">
        <v>22</v>
      </c>
      <c r="B19" s="21">
        <v>50.0</v>
      </c>
      <c r="C19" s="21">
        <v>5000.0</v>
      </c>
      <c r="D19" s="21">
        <v>0.0</v>
      </c>
      <c r="E19" s="21">
        <v>50.0</v>
      </c>
      <c r="F19" s="21">
        <v>0.06</v>
      </c>
      <c r="G19" s="21">
        <v>0.0</v>
      </c>
      <c r="H19" s="21">
        <v>0.01</v>
      </c>
      <c r="I19" s="21">
        <v>50.0</v>
      </c>
    </row>
    <row r="20">
      <c r="A20" s="16" t="s">
        <v>22</v>
      </c>
      <c r="B20" s="21">
        <v>100.0</v>
      </c>
      <c r="C20" s="21">
        <v>4995.0</v>
      </c>
      <c r="D20" s="21">
        <v>0.0</v>
      </c>
      <c r="E20" s="21">
        <v>99.9</v>
      </c>
      <c r="F20" s="21">
        <v>0.02</v>
      </c>
      <c r="G20" s="21">
        <v>0.0</v>
      </c>
      <c r="H20" s="21">
        <v>0.01</v>
      </c>
      <c r="I20" s="21">
        <v>99.9</v>
      </c>
    </row>
    <row r="21">
      <c r="A21" s="16" t="s">
        <v>22</v>
      </c>
      <c r="B21" s="21">
        <v>200.0</v>
      </c>
      <c r="C21" s="21">
        <v>5000.0</v>
      </c>
      <c r="D21" s="21">
        <v>0.0</v>
      </c>
      <c r="E21" s="21">
        <v>199.8</v>
      </c>
      <c r="F21" s="21">
        <v>0.5</v>
      </c>
      <c r="G21" s="21">
        <v>0.01</v>
      </c>
      <c r="H21" s="21">
        <v>0.01</v>
      </c>
      <c r="I21" s="21">
        <v>199.8</v>
      </c>
    </row>
    <row r="22">
      <c r="A22" s="16" t="s">
        <v>22</v>
      </c>
      <c r="B22" s="21">
        <v>300.0</v>
      </c>
      <c r="C22" s="21">
        <v>5000.0</v>
      </c>
      <c r="D22" s="21">
        <v>0.0</v>
      </c>
      <c r="E22" s="21">
        <v>299.4</v>
      </c>
      <c r="F22" s="21">
        <v>0.03</v>
      </c>
      <c r="G22" s="21">
        <v>0.01</v>
      </c>
      <c r="H22" s="21">
        <v>0.01</v>
      </c>
      <c r="I22" s="21">
        <v>299.3</v>
      </c>
    </row>
    <row r="23">
      <c r="A23" s="16" t="s">
        <v>22</v>
      </c>
      <c r="B23" s="21">
        <v>400.0</v>
      </c>
      <c r="C23" s="21">
        <v>5000.0</v>
      </c>
      <c r="D23" s="21">
        <v>0.0</v>
      </c>
      <c r="E23" s="21">
        <v>377.8</v>
      </c>
      <c r="F23" s="21">
        <v>1.19</v>
      </c>
      <c r="G23" s="21">
        <v>0.0</v>
      </c>
      <c r="H23" s="21">
        <v>0.01</v>
      </c>
      <c r="I23" s="21">
        <v>373.6</v>
      </c>
    </row>
    <row r="24">
      <c r="A24" s="16" t="s">
        <v>22</v>
      </c>
      <c r="B24" s="21">
        <v>500.0</v>
      </c>
      <c r="C24" s="21">
        <v>5000.0</v>
      </c>
      <c r="D24" s="21">
        <v>0.0</v>
      </c>
      <c r="E24" s="21">
        <v>496.2</v>
      </c>
      <c r="F24" s="21">
        <v>0.1</v>
      </c>
      <c r="G24" s="21">
        <v>0.0</v>
      </c>
      <c r="H24" s="21">
        <v>0.02</v>
      </c>
      <c r="I24" s="21">
        <v>495.8</v>
      </c>
    </row>
    <row r="25">
      <c r="A25" s="16" t="s">
        <v>15</v>
      </c>
      <c r="B25" s="21">
        <v>100.0</v>
      </c>
      <c r="C25" s="21">
        <v>3336.0</v>
      </c>
      <c r="D25" s="21">
        <v>1664.0</v>
      </c>
      <c r="E25" s="21">
        <v>99.1</v>
      </c>
      <c r="F25" s="21">
        <v>36.71</v>
      </c>
      <c r="G25" s="21">
        <v>0.99</v>
      </c>
      <c r="H25" s="21">
        <v>22.12</v>
      </c>
      <c r="I25" s="21">
        <v>85.2</v>
      </c>
    </row>
    <row r="26">
      <c r="A26" s="16" t="s">
        <v>15</v>
      </c>
      <c r="B26" s="21">
        <v>200.0</v>
      </c>
      <c r="C26" s="21">
        <v>3400.0</v>
      </c>
      <c r="D26" s="21">
        <v>1600.0</v>
      </c>
      <c r="E26" s="21">
        <v>197.8</v>
      </c>
      <c r="F26" s="21">
        <v>22.39</v>
      </c>
      <c r="G26" s="21">
        <v>0.94</v>
      </c>
      <c r="H26" s="21">
        <v>16.4</v>
      </c>
      <c r="I26" s="21">
        <v>138.7</v>
      </c>
    </row>
    <row r="27">
      <c r="A27" s="16" t="s">
        <v>15</v>
      </c>
      <c r="B27" s="21">
        <v>300.0</v>
      </c>
      <c r="C27" s="21">
        <v>3365.0</v>
      </c>
      <c r="D27" s="21">
        <v>1635.0</v>
      </c>
      <c r="E27" s="21">
        <v>289.1</v>
      </c>
      <c r="F27" s="21">
        <v>16.54</v>
      </c>
      <c r="G27" s="21">
        <v>0.98</v>
      </c>
      <c r="H27" s="21">
        <v>13.79</v>
      </c>
      <c r="I27" s="21">
        <v>173.6</v>
      </c>
    </row>
    <row r="28">
      <c r="A28" s="16" t="s">
        <v>15</v>
      </c>
      <c r="B28" s="21">
        <v>400.0</v>
      </c>
      <c r="C28" s="21">
        <v>3374.0</v>
      </c>
      <c r="D28" s="21">
        <v>1626.0</v>
      </c>
      <c r="E28" s="21">
        <v>384.3</v>
      </c>
      <c r="F28" s="21">
        <v>13.29</v>
      </c>
      <c r="G28" s="21">
        <v>1.01</v>
      </c>
      <c r="H28" s="21">
        <v>12.31</v>
      </c>
      <c r="I28" s="21">
        <v>194.2</v>
      </c>
    </row>
    <row r="29">
      <c r="A29" s="16" t="s">
        <v>15</v>
      </c>
      <c r="B29" s="21">
        <v>500.0</v>
      </c>
      <c r="C29" s="21">
        <v>3346.0</v>
      </c>
      <c r="D29" s="21">
        <v>1654.0</v>
      </c>
      <c r="E29" s="21">
        <v>475.4</v>
      </c>
      <c r="F29" s="21">
        <v>12.56</v>
      </c>
      <c r="G29" s="21">
        <v>1.05</v>
      </c>
      <c r="H29" s="21">
        <v>10.8</v>
      </c>
      <c r="I29" s="21">
        <v>220.6</v>
      </c>
    </row>
    <row r="30">
      <c r="A30" s="16" t="s">
        <v>16</v>
      </c>
      <c r="B30" s="21">
        <v>100.0</v>
      </c>
      <c r="C30" s="21">
        <v>5000.0</v>
      </c>
      <c r="D30" s="21">
        <v>0.0</v>
      </c>
      <c r="E30" s="21">
        <v>99.2</v>
      </c>
      <c r="F30" s="21">
        <v>37.86</v>
      </c>
      <c r="G30" s="21">
        <v>0.93</v>
      </c>
      <c r="H30" s="21">
        <v>23.12</v>
      </c>
      <c r="I30" s="21">
        <v>80.1</v>
      </c>
    </row>
    <row r="31">
      <c r="A31" s="16" t="s">
        <v>16</v>
      </c>
      <c r="B31" s="21">
        <v>200.0</v>
      </c>
      <c r="C31" s="21">
        <v>5000.0</v>
      </c>
      <c r="D31" s="21">
        <v>0.0</v>
      </c>
      <c r="E31" s="21">
        <v>195.5</v>
      </c>
      <c r="F31" s="21">
        <v>22.25</v>
      </c>
      <c r="G31" s="21">
        <v>0.86</v>
      </c>
      <c r="H31" s="21">
        <v>15.18</v>
      </c>
      <c r="I31" s="21">
        <v>134.7</v>
      </c>
    </row>
    <row r="32">
      <c r="A32" s="16" t="s">
        <v>16</v>
      </c>
      <c r="B32" s="21">
        <v>300.0</v>
      </c>
      <c r="C32" s="21">
        <v>4999.0</v>
      </c>
      <c r="D32" s="21">
        <v>1.0</v>
      </c>
      <c r="E32" s="21">
        <v>292.1</v>
      </c>
      <c r="F32" s="21">
        <v>16.31</v>
      </c>
      <c r="G32" s="21">
        <v>0.92</v>
      </c>
      <c r="H32" s="21">
        <v>14.47</v>
      </c>
      <c r="I32" s="21">
        <v>164.6</v>
      </c>
    </row>
    <row r="33">
      <c r="A33" s="16" t="s">
        <v>16</v>
      </c>
      <c r="B33" s="21">
        <v>400.0</v>
      </c>
      <c r="C33" s="21">
        <v>4995.0</v>
      </c>
      <c r="D33" s="21">
        <v>5.0</v>
      </c>
      <c r="E33" s="21">
        <v>388.6</v>
      </c>
      <c r="F33" s="21">
        <v>14.66</v>
      </c>
      <c r="G33" s="21">
        <v>1.0</v>
      </c>
      <c r="H33" s="21">
        <v>12.47</v>
      </c>
      <c r="I33" s="21">
        <v>184.9</v>
      </c>
    </row>
    <row r="34">
      <c r="A34" s="16" t="s">
        <v>16</v>
      </c>
      <c r="B34" s="21">
        <v>500.0</v>
      </c>
      <c r="C34" s="21">
        <v>4996.0</v>
      </c>
      <c r="D34" s="21">
        <v>4.0</v>
      </c>
      <c r="E34" s="21">
        <v>482.8</v>
      </c>
      <c r="F34" s="21">
        <v>15.99</v>
      </c>
      <c r="G34" s="21">
        <v>0.93</v>
      </c>
      <c r="H34" s="21">
        <v>12.38</v>
      </c>
      <c r="I34" s="21">
        <v>191.8</v>
      </c>
    </row>
    <row r="35">
      <c r="A35" s="16" t="s">
        <v>16</v>
      </c>
      <c r="B35" s="21">
        <v>600.0</v>
      </c>
      <c r="C35" s="21">
        <v>4997.0</v>
      </c>
      <c r="D35" s="21">
        <v>3.0</v>
      </c>
      <c r="E35" s="21">
        <v>572.1</v>
      </c>
      <c r="F35" s="21">
        <v>15.29</v>
      </c>
      <c r="G35" s="21">
        <v>0.98</v>
      </c>
      <c r="H35" s="21">
        <v>11.51</v>
      </c>
      <c r="I35" s="21">
        <v>212.3</v>
      </c>
    </row>
    <row r="36">
      <c r="A36" s="16" t="s">
        <v>17</v>
      </c>
      <c r="B36" s="21">
        <v>100.0</v>
      </c>
      <c r="C36" s="21">
        <v>5000.0</v>
      </c>
      <c r="D36" s="21">
        <v>0.0</v>
      </c>
      <c r="E36" s="21">
        <v>99.37</v>
      </c>
      <c r="F36" s="21">
        <v>15.84</v>
      </c>
      <c r="G36" s="21">
        <v>0.49</v>
      </c>
      <c r="H36" s="21">
        <f>H30*H38/H31</f>
        <v>15.07826087</v>
      </c>
      <c r="I36" s="21">
        <f>ROUND(I30*I38/I31,2)</f>
        <v>102.04</v>
      </c>
    </row>
    <row r="37">
      <c r="A37" s="16" t="s">
        <v>17</v>
      </c>
      <c r="B37" s="21">
        <v>200.0</v>
      </c>
      <c r="C37" s="21">
        <v>5000.0</v>
      </c>
      <c r="D37" s="21">
        <v>0.0</v>
      </c>
      <c r="E37" s="21">
        <v>194.9</v>
      </c>
      <c r="F37" s="21">
        <v>18.02</v>
      </c>
      <c r="G37" s="21">
        <v>0.52</v>
      </c>
      <c r="H37" s="21">
        <v>12.7</v>
      </c>
      <c r="I37" s="21">
        <v>136.0</v>
      </c>
    </row>
    <row r="38">
      <c r="A38" s="16" t="s">
        <v>17</v>
      </c>
      <c r="B38" s="21">
        <v>300.0</v>
      </c>
      <c r="C38" s="21">
        <v>5000.0</v>
      </c>
      <c r="D38" s="21">
        <v>0.0</v>
      </c>
      <c r="E38" s="21">
        <v>293.9</v>
      </c>
      <c r="F38" s="21">
        <v>13.19</v>
      </c>
      <c r="G38" s="21">
        <v>0.54</v>
      </c>
      <c r="H38" s="21">
        <v>9.9</v>
      </c>
      <c r="I38" s="21">
        <v>171.6</v>
      </c>
    </row>
    <row r="39">
      <c r="A39" s="16" t="s">
        <v>17</v>
      </c>
      <c r="B39" s="21">
        <v>400.0</v>
      </c>
      <c r="C39" s="21">
        <v>4996.0</v>
      </c>
      <c r="D39" s="21">
        <v>4.0</v>
      </c>
      <c r="E39" s="21">
        <v>383.8</v>
      </c>
      <c r="F39" s="21">
        <v>13.34</v>
      </c>
      <c r="G39" s="21">
        <v>0.53</v>
      </c>
      <c r="H39" s="21">
        <v>9.79</v>
      </c>
      <c r="I39" s="21">
        <v>191.3</v>
      </c>
    </row>
    <row r="40">
      <c r="A40" s="16" t="s">
        <v>17</v>
      </c>
      <c r="B40" s="21">
        <v>500.0</v>
      </c>
      <c r="C40" s="21">
        <v>4990.0</v>
      </c>
      <c r="D40" s="21">
        <v>3.0</v>
      </c>
      <c r="E40" s="21">
        <v>482.4</v>
      </c>
      <c r="F40" s="21">
        <v>15.7</v>
      </c>
      <c r="G40" s="21">
        <v>0.67</v>
      </c>
      <c r="H40" s="21">
        <v>11.02</v>
      </c>
      <c r="I40" s="21">
        <v>193.4</v>
      </c>
    </row>
    <row r="47">
      <c r="A47" s="16"/>
      <c r="B47" s="21"/>
      <c r="C47" s="21"/>
      <c r="D47" s="21"/>
      <c r="E47" s="21"/>
      <c r="F47" s="21"/>
      <c r="G47" s="21"/>
      <c r="H47" s="21"/>
      <c r="I47" s="21"/>
    </row>
    <row r="48">
      <c r="A48" s="16"/>
      <c r="B48" s="21"/>
      <c r="C48" s="21"/>
      <c r="D48" s="21"/>
      <c r="E48" s="21"/>
      <c r="F48" s="21"/>
      <c r="G48" s="21"/>
      <c r="H48" s="21"/>
      <c r="I48" s="21"/>
    </row>
    <row r="49">
      <c r="A49" s="16"/>
      <c r="B49" s="21"/>
      <c r="C49" s="21"/>
      <c r="D49" s="21"/>
      <c r="E49" s="21"/>
      <c r="F49" s="21"/>
      <c r="G49" s="21"/>
      <c r="H49" s="21"/>
      <c r="I49" s="21"/>
    </row>
    <row r="50">
      <c r="A50" s="16"/>
      <c r="B50" s="21"/>
      <c r="C50" s="21"/>
      <c r="D50" s="21"/>
      <c r="E50" s="21"/>
      <c r="F50" s="21"/>
      <c r="G50" s="21"/>
      <c r="H50" s="21"/>
      <c r="I50" s="21"/>
    </row>
    <row r="51">
      <c r="A51" s="16"/>
      <c r="B51" s="21"/>
      <c r="C51" s="21"/>
      <c r="D51" s="21"/>
      <c r="E51" s="21"/>
      <c r="F51" s="21"/>
      <c r="G51" s="21"/>
      <c r="H51" s="21"/>
      <c r="I51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41</v>
      </c>
      <c r="K1" s="17" t="s">
        <v>42</v>
      </c>
    </row>
    <row r="2">
      <c r="A2" s="17" t="s">
        <v>20</v>
      </c>
      <c r="B2" s="17">
        <v>50.0</v>
      </c>
      <c r="C2" s="17">
        <v>5000.0</v>
      </c>
      <c r="D2" s="17">
        <v>0.0</v>
      </c>
      <c r="E2" s="17">
        <v>50.0</v>
      </c>
      <c r="F2" s="17">
        <v>0.02</v>
      </c>
      <c r="G2" s="18">
        <v>0.0</v>
      </c>
      <c r="H2" s="17">
        <v>0.01</v>
      </c>
      <c r="I2" s="17">
        <v>50.0</v>
      </c>
      <c r="J2" s="17">
        <v>10.0</v>
      </c>
      <c r="K2" s="18">
        <f t="shared" ref="K2:K7" si="1">6.66</f>
        <v>6.66</v>
      </c>
    </row>
    <row r="3">
      <c r="A3" s="17" t="s">
        <v>20</v>
      </c>
      <c r="B3" s="17">
        <v>100.0</v>
      </c>
      <c r="C3" s="17">
        <v>5000.0</v>
      </c>
      <c r="D3" s="17">
        <v>0.0</v>
      </c>
      <c r="E3" s="17">
        <v>100.0</v>
      </c>
      <c r="F3" s="17">
        <v>0.1</v>
      </c>
      <c r="G3" s="18">
        <v>0.0</v>
      </c>
      <c r="H3" s="17">
        <v>0.01</v>
      </c>
      <c r="I3" s="17">
        <v>100.0</v>
      </c>
      <c r="J3" s="17">
        <v>10.0</v>
      </c>
      <c r="K3" s="18">
        <f t="shared" si="1"/>
        <v>6.66</v>
      </c>
    </row>
    <row r="4">
      <c r="A4" s="17" t="s">
        <v>20</v>
      </c>
      <c r="B4" s="17">
        <v>200.0</v>
      </c>
      <c r="C4" s="17">
        <v>5000.0</v>
      </c>
      <c r="D4" s="17">
        <v>0.0</v>
      </c>
      <c r="E4" s="17">
        <v>200.0</v>
      </c>
      <c r="F4" s="17">
        <v>0.08</v>
      </c>
      <c r="G4" s="18">
        <v>0.0</v>
      </c>
      <c r="H4" s="17">
        <v>0.01</v>
      </c>
      <c r="I4" s="17">
        <v>199.9</v>
      </c>
      <c r="J4" s="17">
        <v>10.0</v>
      </c>
      <c r="K4" s="18">
        <f t="shared" si="1"/>
        <v>6.66</v>
      </c>
    </row>
    <row r="5">
      <c r="A5" s="17" t="s">
        <v>20</v>
      </c>
      <c r="B5" s="17">
        <v>300.0</v>
      </c>
      <c r="C5" s="17">
        <v>5000.0</v>
      </c>
      <c r="D5" s="17">
        <v>0.0</v>
      </c>
      <c r="E5" s="17">
        <v>299.7</v>
      </c>
      <c r="F5" s="17">
        <v>0.24</v>
      </c>
      <c r="G5" s="18">
        <v>0.0</v>
      </c>
      <c r="H5" s="17">
        <v>0.01</v>
      </c>
      <c r="I5" s="17">
        <v>299.6</v>
      </c>
      <c r="J5" s="17">
        <v>10.0</v>
      </c>
      <c r="K5" s="18">
        <f t="shared" si="1"/>
        <v>6.66</v>
      </c>
    </row>
    <row r="6">
      <c r="A6" s="17" t="s">
        <v>20</v>
      </c>
      <c r="B6" s="17">
        <v>400.0</v>
      </c>
      <c r="C6" s="17">
        <v>5000.0</v>
      </c>
      <c r="D6" s="17">
        <v>0.0</v>
      </c>
      <c r="E6" s="17">
        <v>398.8</v>
      </c>
      <c r="F6" s="17">
        <v>0.03</v>
      </c>
      <c r="G6" s="18">
        <v>0.0</v>
      </c>
      <c r="H6" s="17">
        <v>0.01</v>
      </c>
      <c r="I6" s="17">
        <v>398.6</v>
      </c>
      <c r="J6" s="17">
        <v>10.0</v>
      </c>
      <c r="K6" s="18">
        <f t="shared" si="1"/>
        <v>6.66</v>
      </c>
    </row>
    <row r="7">
      <c r="A7" s="17" t="s">
        <v>20</v>
      </c>
      <c r="B7" s="17">
        <v>500.0</v>
      </c>
      <c r="C7" s="17">
        <v>5000.0</v>
      </c>
      <c r="D7" s="17">
        <v>0.0</v>
      </c>
      <c r="E7" s="17">
        <v>497.0</v>
      </c>
      <c r="F7" s="17">
        <v>0.2</v>
      </c>
      <c r="G7" s="18">
        <v>0.01</v>
      </c>
      <c r="H7" s="17">
        <v>0.04</v>
      </c>
      <c r="I7" s="17">
        <v>496.7</v>
      </c>
      <c r="J7" s="17">
        <v>10.0</v>
      </c>
      <c r="K7" s="18">
        <f t="shared" si="1"/>
        <v>6.66</v>
      </c>
    </row>
    <row r="8">
      <c r="A8" s="17" t="s">
        <v>20</v>
      </c>
      <c r="B8" s="17">
        <v>50.0</v>
      </c>
      <c r="C8" s="17">
        <v>4995.0</v>
      </c>
      <c r="D8" s="17">
        <v>0.0</v>
      </c>
      <c r="E8" s="17">
        <v>50.0</v>
      </c>
      <c r="F8" s="17">
        <v>1.01</v>
      </c>
      <c r="G8" s="18">
        <v>0.0</v>
      </c>
      <c r="H8" s="17">
        <v>0.01</v>
      </c>
      <c r="I8" s="17">
        <v>50.0</v>
      </c>
      <c r="J8" s="17">
        <v>20.0</v>
      </c>
      <c r="K8" s="18">
        <f t="shared" ref="K8:K37" si="2">J8*0.66</f>
        <v>13.2</v>
      </c>
    </row>
    <row r="9">
      <c r="A9" s="17" t="s">
        <v>20</v>
      </c>
      <c r="B9" s="17">
        <v>100.0</v>
      </c>
      <c r="C9" s="17">
        <v>5000.0</v>
      </c>
      <c r="D9" s="17">
        <v>0.0</v>
      </c>
      <c r="E9" s="17">
        <v>100.1</v>
      </c>
      <c r="F9" s="17">
        <v>0.02</v>
      </c>
      <c r="G9" s="18">
        <v>0.0</v>
      </c>
      <c r="H9" s="17">
        <v>0.01</v>
      </c>
      <c r="I9" s="17">
        <v>100.0</v>
      </c>
      <c r="J9" s="17">
        <v>20.0</v>
      </c>
      <c r="K9" s="18">
        <f t="shared" si="2"/>
        <v>13.2</v>
      </c>
    </row>
    <row r="10">
      <c r="A10" s="17" t="s">
        <v>20</v>
      </c>
      <c r="B10" s="17">
        <v>200.0</v>
      </c>
      <c r="C10" s="17">
        <v>5000.0</v>
      </c>
      <c r="D10" s="17">
        <v>0.0</v>
      </c>
      <c r="E10" s="17">
        <v>199.5</v>
      </c>
      <c r="F10" s="17">
        <v>0.02</v>
      </c>
      <c r="G10" s="18">
        <v>0.0</v>
      </c>
      <c r="H10" s="17">
        <v>0.01</v>
      </c>
      <c r="I10" s="17">
        <v>199.5</v>
      </c>
      <c r="J10" s="17">
        <v>20.0</v>
      </c>
      <c r="K10" s="18">
        <f t="shared" si="2"/>
        <v>13.2</v>
      </c>
    </row>
    <row r="11">
      <c r="A11" s="17" t="s">
        <v>20</v>
      </c>
      <c r="B11" s="17">
        <v>300.0</v>
      </c>
      <c r="C11" s="17">
        <v>5000.0</v>
      </c>
      <c r="D11" s="17">
        <v>0.0</v>
      </c>
      <c r="E11" s="17">
        <v>299.3</v>
      </c>
      <c r="F11" s="17">
        <v>0.05</v>
      </c>
      <c r="G11" s="18">
        <v>0.0</v>
      </c>
      <c r="H11" s="17">
        <v>0.01</v>
      </c>
      <c r="I11" s="17">
        <v>299.2</v>
      </c>
      <c r="J11" s="17">
        <v>20.0</v>
      </c>
      <c r="K11" s="18">
        <f t="shared" si="2"/>
        <v>13.2</v>
      </c>
    </row>
    <row r="12">
      <c r="A12" s="17" t="s">
        <v>20</v>
      </c>
      <c r="B12" s="17">
        <v>400.0</v>
      </c>
      <c r="C12" s="17">
        <v>5000.0</v>
      </c>
      <c r="D12" s="17">
        <v>0.0</v>
      </c>
      <c r="E12" s="17">
        <v>399.4</v>
      </c>
      <c r="F12" s="17">
        <v>0.03</v>
      </c>
      <c r="G12" s="18">
        <v>0.0</v>
      </c>
      <c r="H12" s="17">
        <v>0.01</v>
      </c>
      <c r="I12" s="17">
        <v>399.3</v>
      </c>
      <c r="J12" s="17">
        <v>20.0</v>
      </c>
      <c r="K12" s="18">
        <f t="shared" si="2"/>
        <v>13.2</v>
      </c>
    </row>
    <row r="13">
      <c r="A13" s="17" t="s">
        <v>20</v>
      </c>
      <c r="B13" s="17">
        <v>500.0</v>
      </c>
      <c r="C13" s="17">
        <v>5000.0</v>
      </c>
      <c r="D13" s="17">
        <v>0.0</v>
      </c>
      <c r="E13" s="17">
        <v>500.0</v>
      </c>
      <c r="F13" s="17">
        <v>1.93</v>
      </c>
      <c r="G13" s="18">
        <v>0.0</v>
      </c>
      <c r="H13" s="17">
        <v>0.59</v>
      </c>
      <c r="I13" s="17">
        <v>491.4</v>
      </c>
      <c r="J13" s="17">
        <v>20.0</v>
      </c>
      <c r="K13" s="18">
        <f t="shared" si="2"/>
        <v>13.2</v>
      </c>
    </row>
    <row r="14">
      <c r="A14" s="17" t="s">
        <v>20</v>
      </c>
      <c r="B14" s="17">
        <v>50.0</v>
      </c>
      <c r="C14" s="17">
        <v>5000.0</v>
      </c>
      <c r="D14" s="17">
        <v>0.0</v>
      </c>
      <c r="E14" s="17">
        <v>50.0</v>
      </c>
      <c r="F14" s="17">
        <v>0.05</v>
      </c>
      <c r="G14" s="18">
        <v>0.0</v>
      </c>
      <c r="H14" s="17">
        <v>0.01</v>
      </c>
      <c r="I14" s="17">
        <v>50.0</v>
      </c>
      <c r="J14" s="17">
        <v>50.0</v>
      </c>
      <c r="K14" s="18">
        <f t="shared" si="2"/>
        <v>33</v>
      </c>
    </row>
    <row r="15">
      <c r="A15" s="17" t="s">
        <v>20</v>
      </c>
      <c r="B15" s="17">
        <v>100.0</v>
      </c>
      <c r="C15" s="17">
        <v>5000.0</v>
      </c>
      <c r="D15" s="17">
        <v>0.0</v>
      </c>
      <c r="E15" s="17">
        <v>100.1</v>
      </c>
      <c r="F15" s="17">
        <v>0.21</v>
      </c>
      <c r="G15" s="18">
        <v>0.0</v>
      </c>
      <c r="H15" s="17">
        <v>0.01</v>
      </c>
      <c r="I15" s="17">
        <v>100.0</v>
      </c>
      <c r="J15" s="17">
        <v>50.0</v>
      </c>
      <c r="K15" s="18">
        <f t="shared" si="2"/>
        <v>33</v>
      </c>
    </row>
    <row r="16">
      <c r="A16" s="17" t="s">
        <v>20</v>
      </c>
      <c r="B16" s="17">
        <v>200.0</v>
      </c>
      <c r="C16" s="17">
        <v>5000.0</v>
      </c>
      <c r="D16" s="17">
        <v>0.0</v>
      </c>
      <c r="E16" s="17">
        <v>199.6</v>
      </c>
      <c r="F16" s="17">
        <v>0.02</v>
      </c>
      <c r="G16" s="18">
        <v>0.0</v>
      </c>
      <c r="H16" s="17">
        <v>0.01</v>
      </c>
      <c r="I16" s="17">
        <v>199.5</v>
      </c>
      <c r="J16" s="17">
        <v>50.0</v>
      </c>
      <c r="K16" s="18">
        <f t="shared" si="2"/>
        <v>33</v>
      </c>
    </row>
    <row r="17">
      <c r="A17" s="17" t="s">
        <v>20</v>
      </c>
      <c r="B17" s="17">
        <v>300.0</v>
      </c>
      <c r="C17" s="17">
        <v>5000.0</v>
      </c>
      <c r="D17" s="17">
        <v>0.0</v>
      </c>
      <c r="E17" s="17">
        <v>299.5</v>
      </c>
      <c r="F17" s="17">
        <v>1.05</v>
      </c>
      <c r="G17" s="18">
        <v>0.0</v>
      </c>
      <c r="H17" s="17">
        <v>-0.01</v>
      </c>
      <c r="I17" s="17">
        <v>299.4</v>
      </c>
      <c r="J17" s="17">
        <v>50.0</v>
      </c>
      <c r="K17" s="18">
        <f t="shared" si="2"/>
        <v>33</v>
      </c>
    </row>
    <row r="18">
      <c r="A18" s="17" t="s">
        <v>20</v>
      </c>
      <c r="B18" s="17">
        <v>400.0</v>
      </c>
      <c r="C18" s="17">
        <v>5000.0</v>
      </c>
      <c r="D18" s="17">
        <v>0.0</v>
      </c>
      <c r="E18" s="17">
        <v>399.3</v>
      </c>
      <c r="F18" s="17">
        <v>0.56</v>
      </c>
      <c r="G18" s="18">
        <v>0.0</v>
      </c>
      <c r="H18" s="17">
        <v>0.23</v>
      </c>
      <c r="I18" s="17">
        <v>391.8</v>
      </c>
      <c r="J18" s="17">
        <v>50.0</v>
      </c>
      <c r="K18" s="18">
        <f t="shared" si="2"/>
        <v>33</v>
      </c>
    </row>
    <row r="19">
      <c r="A19" s="17" t="s">
        <v>20</v>
      </c>
      <c r="B19" s="17">
        <v>500.0</v>
      </c>
      <c r="C19" s="17">
        <v>5000.0</v>
      </c>
      <c r="D19" s="17">
        <v>0.0</v>
      </c>
      <c r="E19" s="17">
        <v>499.6</v>
      </c>
      <c r="F19" s="17">
        <v>2.25</v>
      </c>
      <c r="G19" s="18">
        <v>0.0</v>
      </c>
      <c r="H19" s="17">
        <v>0.96</v>
      </c>
      <c r="I19" s="17">
        <v>436.9</v>
      </c>
      <c r="J19" s="17">
        <v>50.0</v>
      </c>
      <c r="K19" s="18">
        <f t="shared" si="2"/>
        <v>33</v>
      </c>
    </row>
    <row r="20">
      <c r="A20" s="17" t="s">
        <v>20</v>
      </c>
      <c r="B20" s="17">
        <v>50.0</v>
      </c>
      <c r="C20" s="17">
        <v>5000.0</v>
      </c>
      <c r="D20" s="17">
        <v>0.0</v>
      </c>
      <c r="E20" s="17">
        <v>50.0</v>
      </c>
      <c r="F20" s="17">
        <v>0.06</v>
      </c>
      <c r="G20" s="18">
        <v>0.0</v>
      </c>
      <c r="H20" s="17">
        <v>0.01</v>
      </c>
      <c r="I20" s="17">
        <v>50.0</v>
      </c>
      <c r="J20" s="17">
        <v>100.0</v>
      </c>
      <c r="K20" s="18">
        <f t="shared" si="2"/>
        <v>66</v>
      </c>
    </row>
    <row r="21">
      <c r="A21" s="17" t="s">
        <v>20</v>
      </c>
      <c r="B21" s="17">
        <v>100.0</v>
      </c>
      <c r="C21" s="17">
        <v>5000.0</v>
      </c>
      <c r="D21" s="17">
        <v>0.0</v>
      </c>
      <c r="E21" s="17">
        <v>100.0</v>
      </c>
      <c r="F21" s="17">
        <v>0.1</v>
      </c>
      <c r="G21" s="18">
        <v>0.0</v>
      </c>
      <c r="H21" s="17">
        <v>0.01</v>
      </c>
      <c r="I21" s="17">
        <v>99.9</v>
      </c>
      <c r="J21" s="17">
        <v>100.0</v>
      </c>
      <c r="K21" s="18">
        <f t="shared" si="2"/>
        <v>66</v>
      </c>
    </row>
    <row r="22">
      <c r="A22" s="17" t="s">
        <v>20</v>
      </c>
      <c r="B22" s="17">
        <v>200.0</v>
      </c>
      <c r="C22" s="17">
        <v>5000.0</v>
      </c>
      <c r="D22" s="17">
        <v>0.0</v>
      </c>
      <c r="E22" s="17">
        <v>199.8</v>
      </c>
      <c r="F22" s="17">
        <v>0.07</v>
      </c>
      <c r="G22" s="18">
        <v>0.0</v>
      </c>
      <c r="H22" s="17">
        <v>0.01</v>
      </c>
      <c r="I22" s="17">
        <v>199.8</v>
      </c>
      <c r="J22" s="17">
        <v>100.0</v>
      </c>
      <c r="K22" s="18">
        <f t="shared" si="2"/>
        <v>66</v>
      </c>
    </row>
    <row r="23">
      <c r="A23" s="17" t="s">
        <v>20</v>
      </c>
      <c r="B23" s="17">
        <v>300.0</v>
      </c>
      <c r="C23" s="17">
        <v>5000.0</v>
      </c>
      <c r="D23" s="17">
        <v>0.0</v>
      </c>
      <c r="E23" s="17">
        <v>299.7</v>
      </c>
      <c r="F23" s="17">
        <v>0.5</v>
      </c>
      <c r="G23" s="18">
        <v>0.01</v>
      </c>
      <c r="H23" s="17">
        <v>0.17</v>
      </c>
      <c r="I23" s="17">
        <v>296.1</v>
      </c>
      <c r="J23" s="17">
        <v>100.0</v>
      </c>
      <c r="K23" s="18">
        <f t="shared" si="2"/>
        <v>66</v>
      </c>
    </row>
    <row r="24">
      <c r="A24" s="17" t="s">
        <v>20</v>
      </c>
      <c r="B24" s="17">
        <v>400.0</v>
      </c>
      <c r="C24" s="17">
        <v>5000.0</v>
      </c>
      <c r="D24" s="17">
        <v>0.0</v>
      </c>
      <c r="E24" s="17">
        <v>397.9</v>
      </c>
      <c r="F24" s="17">
        <v>7.7</v>
      </c>
      <c r="G24" s="18">
        <v>0.04</v>
      </c>
      <c r="H24" s="17">
        <v>3.94</v>
      </c>
      <c r="I24" s="17">
        <v>285.6</v>
      </c>
      <c r="J24" s="17">
        <v>100.0</v>
      </c>
      <c r="K24" s="18">
        <f t="shared" si="2"/>
        <v>66</v>
      </c>
    </row>
    <row r="25">
      <c r="A25" s="17" t="s">
        <v>20</v>
      </c>
      <c r="B25" s="17">
        <v>500.0</v>
      </c>
      <c r="C25" s="17">
        <v>4536.0</v>
      </c>
      <c r="D25" s="17">
        <v>464.0</v>
      </c>
      <c r="E25" s="17">
        <v>495.0</v>
      </c>
      <c r="F25" s="17">
        <v>9.65</v>
      </c>
      <c r="G25" s="18">
        <v>0.06</v>
      </c>
      <c r="H25" s="17">
        <v>5.29</v>
      </c>
      <c r="I25" s="17">
        <v>314.5</v>
      </c>
      <c r="J25" s="17">
        <v>100.0</v>
      </c>
      <c r="K25" s="18">
        <f t="shared" si="2"/>
        <v>66</v>
      </c>
    </row>
    <row r="26">
      <c r="A26" s="17" t="s">
        <v>20</v>
      </c>
      <c r="B26" s="17">
        <v>50.0</v>
      </c>
      <c r="C26" s="17">
        <v>5000.0</v>
      </c>
      <c r="D26" s="17">
        <v>0.0</v>
      </c>
      <c r="E26" s="17">
        <v>50.0</v>
      </c>
      <c r="F26" s="17">
        <v>0.58</v>
      </c>
      <c r="G26" s="18">
        <v>0.0</v>
      </c>
      <c r="H26" s="17">
        <v>0.05</v>
      </c>
      <c r="I26" s="17">
        <v>50.0</v>
      </c>
      <c r="J26" s="17">
        <v>500.0</v>
      </c>
      <c r="K26" s="18">
        <f t="shared" si="2"/>
        <v>330</v>
      </c>
    </row>
    <row r="27">
      <c r="A27" s="17" t="s">
        <v>20</v>
      </c>
      <c r="B27" s="17">
        <v>100.0</v>
      </c>
      <c r="C27" s="17">
        <v>5000.0</v>
      </c>
      <c r="D27" s="17">
        <v>0.0</v>
      </c>
      <c r="E27" s="17">
        <v>100.0</v>
      </c>
      <c r="F27" s="17">
        <v>19.27</v>
      </c>
      <c r="G27" s="18">
        <v>0.11</v>
      </c>
      <c r="H27" s="17">
        <v>10.81</v>
      </c>
      <c r="I27" s="17">
        <v>77.4</v>
      </c>
      <c r="J27" s="17">
        <v>500.0</v>
      </c>
      <c r="K27" s="18">
        <f t="shared" si="2"/>
        <v>330</v>
      </c>
    </row>
    <row r="28">
      <c r="A28" s="17" t="s">
        <v>20</v>
      </c>
      <c r="B28" s="17">
        <v>200.0</v>
      </c>
      <c r="C28" s="17">
        <v>3690.0</v>
      </c>
      <c r="D28" s="17">
        <v>1310.0</v>
      </c>
      <c r="E28" s="17">
        <v>199.5</v>
      </c>
      <c r="F28" s="17">
        <v>35.25</v>
      </c>
      <c r="G28" s="18">
        <v>0.12</v>
      </c>
      <c r="H28" s="17">
        <v>21.81</v>
      </c>
      <c r="I28" s="17">
        <v>99.7</v>
      </c>
      <c r="J28" s="17">
        <v>500.0</v>
      </c>
      <c r="K28" s="18">
        <f t="shared" si="2"/>
        <v>330</v>
      </c>
    </row>
    <row r="29">
      <c r="A29" s="17" t="s">
        <v>20</v>
      </c>
      <c r="B29" s="17">
        <v>300.0</v>
      </c>
      <c r="C29" s="17">
        <v>3022.0</v>
      </c>
      <c r="D29" s="17">
        <v>1978.0</v>
      </c>
      <c r="E29" s="17">
        <v>299.6</v>
      </c>
      <c r="F29" s="17">
        <v>34.36</v>
      </c>
      <c r="G29" s="18">
        <v>0.22</v>
      </c>
      <c r="H29" s="17">
        <v>23.37</v>
      </c>
      <c r="I29" s="17">
        <v>118.4</v>
      </c>
      <c r="J29" s="17">
        <v>500.0</v>
      </c>
      <c r="K29" s="18">
        <f t="shared" si="2"/>
        <v>330</v>
      </c>
    </row>
    <row r="30">
      <c r="A30" s="17" t="s">
        <v>20</v>
      </c>
      <c r="B30" s="17">
        <v>400.0</v>
      </c>
      <c r="C30" s="17">
        <v>2721.0</v>
      </c>
      <c r="D30" s="17">
        <v>2279.0</v>
      </c>
      <c r="E30" s="17">
        <v>397.7</v>
      </c>
      <c r="F30" s="17">
        <v>33.66</v>
      </c>
      <c r="G30" s="18">
        <v>0.49</v>
      </c>
      <c r="H30" s="17">
        <v>24.59</v>
      </c>
      <c r="I30" s="17">
        <v>130.4</v>
      </c>
      <c r="J30" s="17">
        <v>500.0</v>
      </c>
      <c r="K30" s="18">
        <f t="shared" si="2"/>
        <v>330</v>
      </c>
    </row>
    <row r="31">
      <c r="A31" s="17" t="s">
        <v>20</v>
      </c>
      <c r="B31" s="17">
        <v>500.0</v>
      </c>
      <c r="C31" s="17">
        <v>2632.0</v>
      </c>
      <c r="D31" s="17">
        <v>2368.0</v>
      </c>
      <c r="E31" s="17">
        <v>497.9</v>
      </c>
      <c r="F31" s="17">
        <v>36.23</v>
      </c>
      <c r="G31" s="18">
        <v>0.47</v>
      </c>
      <c r="H31" s="17">
        <v>27.31</v>
      </c>
      <c r="I31" s="17">
        <v>125.8</v>
      </c>
      <c r="J31" s="17">
        <v>500.0</v>
      </c>
      <c r="K31" s="18">
        <f t="shared" si="2"/>
        <v>330</v>
      </c>
    </row>
    <row r="32">
      <c r="A32" s="17" t="s">
        <v>20</v>
      </c>
      <c r="B32" s="17">
        <v>50.0</v>
      </c>
      <c r="C32" s="17">
        <v>5000.0</v>
      </c>
      <c r="D32" s="17">
        <v>0.0</v>
      </c>
      <c r="E32" s="17">
        <v>50.0</v>
      </c>
      <c r="F32" s="17">
        <v>26.55</v>
      </c>
      <c r="G32" s="18">
        <v>0.15</v>
      </c>
      <c r="H32" s="17">
        <v>13.33</v>
      </c>
      <c r="I32" s="17">
        <v>41.8</v>
      </c>
      <c r="J32" s="17">
        <v>1000.0</v>
      </c>
      <c r="K32" s="18">
        <f t="shared" si="2"/>
        <v>660</v>
      </c>
    </row>
    <row r="33">
      <c r="A33" s="17" t="s">
        <v>20</v>
      </c>
      <c r="B33" s="17">
        <v>100.0</v>
      </c>
      <c r="C33" s="17">
        <v>1049.0</v>
      </c>
      <c r="D33" s="17">
        <v>3941.0</v>
      </c>
      <c r="E33" s="17">
        <v>99.8</v>
      </c>
      <c r="F33" s="17">
        <v>45.19</v>
      </c>
      <c r="G33" s="18">
        <v>0.0</v>
      </c>
      <c r="H33" s="17">
        <v>17.1</v>
      </c>
      <c r="I33" s="17">
        <v>74.5</v>
      </c>
      <c r="J33" s="17">
        <v>1000.0</v>
      </c>
      <c r="K33" s="18">
        <f t="shared" si="2"/>
        <v>660</v>
      </c>
    </row>
    <row r="34">
      <c r="A34" s="17" t="s">
        <v>20</v>
      </c>
      <c r="B34" s="17">
        <v>200.0</v>
      </c>
      <c r="C34" s="17">
        <v>386.0</v>
      </c>
      <c r="D34" s="17">
        <v>4614.0</v>
      </c>
      <c r="E34" s="17">
        <v>200.1</v>
      </c>
      <c r="F34" s="17">
        <v>38.95</v>
      </c>
      <c r="G34" s="18">
        <v>10.57</v>
      </c>
      <c r="H34" s="17">
        <v>25.43</v>
      </c>
      <c r="I34" s="17">
        <v>99.9</v>
      </c>
      <c r="J34" s="17">
        <v>1000.0</v>
      </c>
      <c r="K34" s="18">
        <f t="shared" si="2"/>
        <v>660</v>
      </c>
    </row>
    <row r="35">
      <c r="A35" s="17" t="s">
        <v>20</v>
      </c>
      <c r="B35" s="17">
        <v>300.0</v>
      </c>
      <c r="C35" s="17">
        <v>262.0</v>
      </c>
      <c r="D35" s="17">
        <v>4733.0</v>
      </c>
      <c r="E35" s="17">
        <v>299.2</v>
      </c>
      <c r="F35" s="17">
        <v>29.89</v>
      </c>
      <c r="G35" s="18">
        <v>11.41</v>
      </c>
      <c r="H35" s="17">
        <v>20.21</v>
      </c>
      <c r="I35" s="17">
        <v>110.2</v>
      </c>
      <c r="J35" s="17">
        <v>1000.0</v>
      </c>
      <c r="K35" s="18">
        <f t="shared" si="2"/>
        <v>660</v>
      </c>
    </row>
    <row r="36">
      <c r="A36" s="17" t="s">
        <v>20</v>
      </c>
      <c r="B36" s="17">
        <v>400.0</v>
      </c>
      <c r="C36" s="17">
        <v>0.0</v>
      </c>
      <c r="D36" s="17">
        <v>5000.0</v>
      </c>
      <c r="E36" s="17">
        <v>398.1</v>
      </c>
      <c r="F36" s="17" t="s">
        <v>21</v>
      </c>
      <c r="G36" s="18" t="s">
        <v>21</v>
      </c>
      <c r="H36" s="17" t="s">
        <v>21</v>
      </c>
      <c r="I36" s="17">
        <v>148.6</v>
      </c>
      <c r="J36" s="17">
        <v>1000.0</v>
      </c>
      <c r="K36" s="18">
        <f t="shared" si="2"/>
        <v>660</v>
      </c>
    </row>
    <row r="37">
      <c r="A37" s="17" t="s">
        <v>20</v>
      </c>
      <c r="B37" s="17">
        <v>500.0</v>
      </c>
      <c r="C37" s="17">
        <v>0.0</v>
      </c>
      <c r="D37" s="17">
        <v>5000.0</v>
      </c>
      <c r="E37" s="17">
        <v>499.5</v>
      </c>
      <c r="F37" s="17" t="s">
        <v>21</v>
      </c>
      <c r="G37" s="18" t="s">
        <v>21</v>
      </c>
      <c r="H37" s="17" t="s">
        <v>21</v>
      </c>
      <c r="I37" s="17">
        <v>148.2</v>
      </c>
      <c r="J37" s="17">
        <v>1000.0</v>
      </c>
      <c r="K37" s="18">
        <f t="shared" si="2"/>
        <v>660</v>
      </c>
    </row>
    <row r="38">
      <c r="A38" s="17" t="s">
        <v>23</v>
      </c>
      <c r="B38" s="17">
        <v>50.0</v>
      </c>
      <c r="C38" s="17">
        <v>5000.0</v>
      </c>
      <c r="D38" s="17">
        <v>0.0</v>
      </c>
      <c r="E38" s="17">
        <v>50.0</v>
      </c>
      <c r="F38" s="17">
        <v>0.03</v>
      </c>
      <c r="G38" s="18">
        <v>0.0</v>
      </c>
      <c r="H38" s="17">
        <v>0.01</v>
      </c>
      <c r="I38" s="17">
        <v>50.0</v>
      </c>
      <c r="J38" s="17">
        <v>10.0</v>
      </c>
      <c r="K38" s="17">
        <v>9.43</v>
      </c>
    </row>
    <row r="39">
      <c r="A39" s="17" t="s">
        <v>23</v>
      </c>
      <c r="B39" s="17">
        <v>100.0</v>
      </c>
      <c r="C39" s="17">
        <v>5000.0</v>
      </c>
      <c r="D39" s="17">
        <v>0.0</v>
      </c>
      <c r="E39" s="17">
        <v>99.9</v>
      </c>
      <c r="F39" s="17">
        <v>0.03</v>
      </c>
      <c r="G39" s="18">
        <v>0.0</v>
      </c>
      <c r="H39" s="17">
        <v>0.01</v>
      </c>
      <c r="I39" s="17">
        <v>99.9</v>
      </c>
      <c r="J39" s="17">
        <v>10.0</v>
      </c>
      <c r="K39" s="17">
        <v>9.43</v>
      </c>
    </row>
    <row r="40">
      <c r="A40" s="17" t="s">
        <v>23</v>
      </c>
      <c r="B40" s="17">
        <v>200.0</v>
      </c>
      <c r="C40" s="17">
        <v>5000.0</v>
      </c>
      <c r="D40" s="17">
        <v>0.0</v>
      </c>
      <c r="E40" s="17">
        <v>199.5</v>
      </c>
      <c r="F40" s="17">
        <v>0.03</v>
      </c>
      <c r="G40" s="18">
        <v>0.01</v>
      </c>
      <c r="H40" s="17">
        <v>0.01</v>
      </c>
      <c r="I40" s="17">
        <v>199.4</v>
      </c>
      <c r="J40" s="17">
        <v>10.0</v>
      </c>
      <c r="K40" s="17">
        <v>9.43</v>
      </c>
    </row>
    <row r="41">
      <c r="A41" s="17" t="s">
        <v>23</v>
      </c>
      <c r="B41" s="17">
        <v>300.0</v>
      </c>
      <c r="C41" s="17">
        <v>5000.0</v>
      </c>
      <c r="D41" s="17">
        <v>0.0</v>
      </c>
      <c r="E41" s="17">
        <v>298.8</v>
      </c>
      <c r="F41" s="17">
        <v>0.54</v>
      </c>
      <c r="G41" s="18">
        <v>0.01</v>
      </c>
      <c r="H41" s="17">
        <v>0.03</v>
      </c>
      <c r="I41" s="17">
        <v>294.3</v>
      </c>
      <c r="J41" s="17">
        <v>10.0</v>
      </c>
      <c r="K41" s="17">
        <v>9.43</v>
      </c>
    </row>
    <row r="42">
      <c r="A42" s="17" t="s">
        <v>23</v>
      </c>
      <c r="B42" s="17">
        <v>400.0</v>
      </c>
      <c r="C42" s="17">
        <v>5000.0</v>
      </c>
      <c r="D42" s="17">
        <v>0.0</v>
      </c>
      <c r="E42" s="17">
        <v>394.0</v>
      </c>
      <c r="F42" s="17">
        <v>4.33</v>
      </c>
      <c r="G42" s="18">
        <v>0.04</v>
      </c>
      <c r="H42" s="17">
        <v>2.06</v>
      </c>
      <c r="I42" s="17">
        <v>349.6</v>
      </c>
      <c r="J42" s="17">
        <v>10.0</v>
      </c>
      <c r="K42" s="17">
        <v>9.43</v>
      </c>
    </row>
    <row r="43">
      <c r="A43" s="17" t="s">
        <v>23</v>
      </c>
      <c r="B43" s="17">
        <v>500.0</v>
      </c>
      <c r="C43" s="17">
        <v>4909.0</v>
      </c>
      <c r="D43" s="17">
        <v>91.0</v>
      </c>
      <c r="E43" s="17">
        <v>498.3</v>
      </c>
      <c r="F43" s="17">
        <v>7.66</v>
      </c>
      <c r="G43" s="18">
        <v>0.06</v>
      </c>
      <c r="H43" s="17">
        <v>4.22</v>
      </c>
      <c r="I43" s="17">
        <v>353.3</v>
      </c>
      <c r="J43" s="17">
        <v>10.0</v>
      </c>
      <c r="K43" s="17">
        <v>9.43</v>
      </c>
    </row>
    <row r="44">
      <c r="A44" s="17" t="s">
        <v>23</v>
      </c>
      <c r="B44" s="17">
        <v>50.0</v>
      </c>
      <c r="C44" s="17">
        <v>5000.0</v>
      </c>
      <c r="D44" s="17">
        <v>0.0</v>
      </c>
      <c r="E44" s="17">
        <v>50.0</v>
      </c>
      <c r="F44" s="17">
        <v>0.13</v>
      </c>
      <c r="G44" s="18">
        <v>0.0</v>
      </c>
      <c r="H44" s="17">
        <v>0.01</v>
      </c>
      <c r="I44" s="17">
        <v>50.0</v>
      </c>
      <c r="J44" s="17">
        <v>20.0</v>
      </c>
      <c r="K44" s="17">
        <v>18.81</v>
      </c>
    </row>
    <row r="45">
      <c r="A45" s="17" t="s">
        <v>23</v>
      </c>
      <c r="B45" s="17">
        <v>100.0</v>
      </c>
      <c r="C45" s="17">
        <v>5000.0</v>
      </c>
      <c r="D45" s="17">
        <v>0.0</v>
      </c>
      <c r="E45" s="17">
        <v>100.0</v>
      </c>
      <c r="F45" s="17">
        <v>0.57</v>
      </c>
      <c r="G45" s="18">
        <v>0.0</v>
      </c>
      <c r="H45" s="17">
        <v>0.01</v>
      </c>
      <c r="I45" s="17">
        <v>100.0</v>
      </c>
      <c r="J45" s="17">
        <v>20.0</v>
      </c>
      <c r="K45" s="17">
        <v>18.81</v>
      </c>
    </row>
    <row r="46">
      <c r="A46" s="17" t="s">
        <v>23</v>
      </c>
      <c r="B46" s="17">
        <v>200.0</v>
      </c>
      <c r="C46" s="17">
        <v>5000.0</v>
      </c>
      <c r="D46" s="17">
        <v>0.0</v>
      </c>
      <c r="E46" s="17">
        <v>200.0</v>
      </c>
      <c r="F46" s="17">
        <v>0.04</v>
      </c>
      <c r="G46" s="18">
        <v>0.01</v>
      </c>
      <c r="H46" s="17">
        <v>0.01</v>
      </c>
      <c r="I46" s="17">
        <v>199.9</v>
      </c>
      <c r="J46" s="17">
        <v>20.0</v>
      </c>
      <c r="K46" s="17">
        <v>18.81</v>
      </c>
    </row>
    <row r="47">
      <c r="A47" s="17" t="s">
        <v>23</v>
      </c>
      <c r="B47" s="17">
        <v>300.0</v>
      </c>
      <c r="C47" s="17">
        <v>5000.0</v>
      </c>
      <c r="D47" s="17">
        <v>0.0</v>
      </c>
      <c r="E47" s="17">
        <v>299.3</v>
      </c>
      <c r="F47" s="17">
        <v>0.06</v>
      </c>
      <c r="G47" s="18">
        <v>0.01</v>
      </c>
      <c r="H47" s="17">
        <v>0.01</v>
      </c>
      <c r="I47" s="17">
        <v>299.1</v>
      </c>
      <c r="J47" s="17">
        <v>20.0</v>
      </c>
      <c r="K47" s="17">
        <v>18.81</v>
      </c>
    </row>
    <row r="48">
      <c r="A48" s="17" t="s">
        <v>23</v>
      </c>
      <c r="B48" s="17">
        <v>400.0</v>
      </c>
      <c r="C48" s="17">
        <v>4995.0</v>
      </c>
      <c r="D48" s="17">
        <v>0.0</v>
      </c>
      <c r="E48" s="17">
        <v>397.1</v>
      </c>
      <c r="F48" s="17">
        <v>2.96</v>
      </c>
      <c r="G48" s="18">
        <v>0.0</v>
      </c>
      <c r="H48" s="17">
        <v>1.31</v>
      </c>
      <c r="I48" s="17">
        <v>357.9</v>
      </c>
      <c r="J48" s="17">
        <v>20.0</v>
      </c>
      <c r="K48" s="17">
        <v>18.81</v>
      </c>
    </row>
    <row r="49">
      <c r="A49" s="17" t="s">
        <v>23</v>
      </c>
      <c r="B49" s="17">
        <v>500.0</v>
      </c>
      <c r="C49" s="17">
        <v>4647.0</v>
      </c>
      <c r="D49" s="17">
        <v>353.0</v>
      </c>
      <c r="E49" s="17">
        <v>498.4</v>
      </c>
      <c r="F49" s="17">
        <v>7.31</v>
      </c>
      <c r="G49" s="18">
        <v>0.06</v>
      </c>
      <c r="H49" s="17">
        <v>4.39</v>
      </c>
      <c r="I49" s="17">
        <v>368.9</v>
      </c>
      <c r="J49" s="17">
        <v>20.0</v>
      </c>
      <c r="K49" s="17">
        <v>18.81</v>
      </c>
    </row>
    <row r="50">
      <c r="A50" s="17" t="s">
        <v>23</v>
      </c>
      <c r="B50" s="17">
        <v>50.0</v>
      </c>
      <c r="C50" s="17">
        <v>5000.0</v>
      </c>
      <c r="D50" s="17">
        <v>0.0</v>
      </c>
      <c r="E50" s="17">
        <v>50.0</v>
      </c>
      <c r="F50" s="17">
        <v>0.08</v>
      </c>
      <c r="G50" s="18">
        <v>0.0</v>
      </c>
      <c r="H50" s="17">
        <v>0.01</v>
      </c>
      <c r="I50" s="17">
        <v>50.0</v>
      </c>
      <c r="J50" s="17">
        <v>50.0</v>
      </c>
      <c r="K50" s="18">
        <f t="shared" ref="K50:K55" si="3">K38*5</f>
        <v>47.15</v>
      </c>
    </row>
    <row r="51">
      <c r="A51" s="17" t="s">
        <v>23</v>
      </c>
      <c r="B51" s="17">
        <v>100.0</v>
      </c>
      <c r="C51" s="17">
        <v>4997.0</v>
      </c>
      <c r="D51" s="17">
        <v>0.0</v>
      </c>
      <c r="E51" s="17">
        <v>99.9</v>
      </c>
      <c r="F51" s="17">
        <v>0.38</v>
      </c>
      <c r="G51" s="18">
        <v>0.0</v>
      </c>
      <c r="H51" s="17">
        <v>0.02</v>
      </c>
      <c r="I51" s="17">
        <v>99.9</v>
      </c>
      <c r="J51" s="17">
        <v>50.0</v>
      </c>
      <c r="K51" s="18">
        <f t="shared" si="3"/>
        <v>47.15</v>
      </c>
    </row>
    <row r="52">
      <c r="A52" s="17" t="s">
        <v>23</v>
      </c>
      <c r="B52" s="17">
        <v>200.0</v>
      </c>
      <c r="C52" s="17">
        <v>5000.0</v>
      </c>
      <c r="D52" s="17">
        <v>0.0</v>
      </c>
      <c r="E52" s="17">
        <v>200.0</v>
      </c>
      <c r="F52" s="17">
        <v>0.05</v>
      </c>
      <c r="G52" s="18">
        <v>0.0</v>
      </c>
      <c r="H52" s="17">
        <v>0.01</v>
      </c>
      <c r="I52" s="17">
        <v>199.9</v>
      </c>
      <c r="J52" s="17">
        <v>50.0</v>
      </c>
      <c r="K52" s="18">
        <f t="shared" si="3"/>
        <v>47.15</v>
      </c>
    </row>
    <row r="53">
      <c r="A53" s="17" t="s">
        <v>23</v>
      </c>
      <c r="B53" s="17">
        <v>300.0</v>
      </c>
      <c r="C53" s="17">
        <v>5000.0</v>
      </c>
      <c r="D53" s="17">
        <v>0.0</v>
      </c>
      <c r="E53" s="17">
        <v>299.6</v>
      </c>
      <c r="F53" s="17">
        <v>3.71</v>
      </c>
      <c r="G53" s="18">
        <v>0.0</v>
      </c>
      <c r="H53" s="17">
        <v>1.47</v>
      </c>
      <c r="I53" s="17">
        <v>265.3</v>
      </c>
      <c r="J53" s="17">
        <v>50.0</v>
      </c>
      <c r="K53" s="18">
        <f t="shared" si="3"/>
        <v>47.15</v>
      </c>
    </row>
    <row r="54">
      <c r="A54" s="17" t="s">
        <v>23</v>
      </c>
      <c r="B54" s="17">
        <v>400.0</v>
      </c>
      <c r="C54" s="17">
        <v>4957.0</v>
      </c>
      <c r="D54" s="17">
        <v>43.0</v>
      </c>
      <c r="E54" s="17">
        <v>400.2</v>
      </c>
      <c r="F54" s="17">
        <v>10.56</v>
      </c>
      <c r="G54" s="18">
        <v>0.06</v>
      </c>
      <c r="H54" s="17">
        <v>5.46</v>
      </c>
      <c r="I54" s="17">
        <v>258.7</v>
      </c>
      <c r="J54" s="17">
        <v>50.0</v>
      </c>
      <c r="K54" s="18">
        <f t="shared" si="3"/>
        <v>47.15</v>
      </c>
    </row>
    <row r="55">
      <c r="A55" s="17" t="s">
        <v>23</v>
      </c>
      <c r="B55" s="17">
        <v>500.0</v>
      </c>
      <c r="C55" s="17">
        <v>4207.0</v>
      </c>
      <c r="D55" s="17">
        <v>793.0</v>
      </c>
      <c r="E55" s="17">
        <v>497.4</v>
      </c>
      <c r="F55" s="17">
        <v>10.5</v>
      </c>
      <c r="G55" s="18">
        <v>0.03</v>
      </c>
      <c r="H55" s="17">
        <v>6.01</v>
      </c>
      <c r="I55" s="17">
        <v>312.1</v>
      </c>
      <c r="J55" s="17">
        <v>50.0</v>
      </c>
      <c r="K55" s="18">
        <f t="shared" si="3"/>
        <v>47.15</v>
      </c>
    </row>
    <row r="56">
      <c r="A56" s="17" t="s">
        <v>23</v>
      </c>
      <c r="B56" s="17">
        <v>50.0</v>
      </c>
      <c r="C56" s="17">
        <v>5000.0</v>
      </c>
      <c r="D56" s="17">
        <v>0.0</v>
      </c>
      <c r="E56" s="17">
        <v>50.0</v>
      </c>
      <c r="F56" s="17">
        <v>0.1</v>
      </c>
      <c r="G56" s="18">
        <v>0.0</v>
      </c>
      <c r="H56" s="17">
        <v>0.01</v>
      </c>
      <c r="I56" s="17">
        <v>50.0</v>
      </c>
      <c r="J56" s="17">
        <v>100.0</v>
      </c>
      <c r="K56" s="18">
        <f t="shared" ref="K56:K59" si="4">K52*2</f>
        <v>94.3</v>
      </c>
    </row>
    <row r="57">
      <c r="A57" s="17" t="s">
        <v>23</v>
      </c>
      <c r="B57" s="17">
        <v>100.0</v>
      </c>
      <c r="C57" s="17">
        <v>4996.0</v>
      </c>
      <c r="D57" s="17">
        <v>0.0</v>
      </c>
      <c r="E57" s="17">
        <v>99.9</v>
      </c>
      <c r="F57" s="17">
        <v>0.04</v>
      </c>
      <c r="G57" s="18">
        <v>0.0</v>
      </c>
      <c r="H57" s="17">
        <v>0.01</v>
      </c>
      <c r="I57" s="17">
        <v>99.8</v>
      </c>
      <c r="J57" s="17">
        <v>100.0</v>
      </c>
      <c r="K57" s="18">
        <f t="shared" si="4"/>
        <v>94.3</v>
      </c>
    </row>
    <row r="58">
      <c r="A58" s="17" t="s">
        <v>23</v>
      </c>
      <c r="B58" s="17">
        <v>200.0</v>
      </c>
      <c r="C58" s="17">
        <v>5000.0</v>
      </c>
      <c r="D58" s="17">
        <v>0.0</v>
      </c>
      <c r="E58" s="17">
        <v>199.8</v>
      </c>
      <c r="F58" s="17">
        <v>0.27</v>
      </c>
      <c r="G58" s="18">
        <v>0.0</v>
      </c>
      <c r="H58" s="17">
        <v>0.06</v>
      </c>
      <c r="I58" s="17">
        <v>199.7</v>
      </c>
      <c r="J58" s="17">
        <v>100.0</v>
      </c>
      <c r="K58" s="18">
        <f t="shared" si="4"/>
        <v>94.3</v>
      </c>
    </row>
    <row r="59">
      <c r="A59" s="17" t="s">
        <v>23</v>
      </c>
      <c r="B59" s="17">
        <v>300.0</v>
      </c>
      <c r="C59" s="17">
        <v>5000.0</v>
      </c>
      <c r="D59" s="17">
        <v>0.0</v>
      </c>
      <c r="E59" s="17">
        <v>299.1</v>
      </c>
      <c r="F59" s="17">
        <v>14.07</v>
      </c>
      <c r="G59" s="18">
        <v>0.02</v>
      </c>
      <c r="H59" s="17">
        <v>6.84</v>
      </c>
      <c r="I59" s="17">
        <v>191.5</v>
      </c>
      <c r="J59" s="17">
        <v>100.0</v>
      </c>
      <c r="K59" s="18">
        <f t="shared" si="4"/>
        <v>94.3</v>
      </c>
    </row>
    <row r="60">
      <c r="A60" s="17" t="s">
        <v>23</v>
      </c>
      <c r="B60" s="17">
        <v>400.0</v>
      </c>
      <c r="C60" s="17">
        <v>4265.0</v>
      </c>
      <c r="D60" s="17">
        <v>735.0</v>
      </c>
      <c r="E60" s="17">
        <v>399.4</v>
      </c>
      <c r="F60" s="17">
        <v>13.5</v>
      </c>
      <c r="G60" s="18">
        <v>0.1</v>
      </c>
      <c r="H60" s="17">
        <v>7.31</v>
      </c>
      <c r="I60" s="17">
        <v>243.0</v>
      </c>
      <c r="J60" s="17">
        <v>100.0</v>
      </c>
      <c r="K60" s="18">
        <v>94.3</v>
      </c>
    </row>
    <row r="61">
      <c r="A61" s="17" t="s">
        <v>23</v>
      </c>
      <c r="B61" s="17">
        <v>500.0</v>
      </c>
      <c r="C61" s="17">
        <v>3518.0</v>
      </c>
      <c r="D61" s="17">
        <v>1482.0</v>
      </c>
      <c r="E61" s="17">
        <v>497.7</v>
      </c>
      <c r="F61" s="17">
        <v>15.42</v>
      </c>
      <c r="G61" s="18">
        <v>0.1</v>
      </c>
      <c r="H61" s="17">
        <v>9.13</v>
      </c>
      <c r="I61" s="17">
        <v>255.2</v>
      </c>
      <c r="J61" s="17">
        <v>100.0</v>
      </c>
      <c r="K61" s="18">
        <v>94.3</v>
      </c>
    </row>
    <row r="62">
      <c r="A62" s="17" t="s">
        <v>23</v>
      </c>
      <c r="B62" s="17">
        <v>50.0</v>
      </c>
      <c r="C62" s="17">
        <v>5000.0</v>
      </c>
      <c r="D62" s="17">
        <v>0.0</v>
      </c>
      <c r="E62" s="17">
        <v>50.0</v>
      </c>
      <c r="F62" s="17">
        <v>1.28</v>
      </c>
      <c r="G62" s="18">
        <v>0.0</v>
      </c>
      <c r="H62" s="17">
        <v>0.41</v>
      </c>
      <c r="I62" s="17">
        <v>49.9</v>
      </c>
      <c r="J62" s="17">
        <v>500.0</v>
      </c>
      <c r="K62" s="18">
        <f>K61*5</f>
        <v>471.5</v>
      </c>
    </row>
    <row r="63">
      <c r="A63" s="17" t="s">
        <v>23</v>
      </c>
      <c r="B63" s="17">
        <v>100.0</v>
      </c>
      <c r="C63" s="17">
        <v>4215.0</v>
      </c>
      <c r="D63" s="17">
        <v>785.0</v>
      </c>
      <c r="E63" s="17">
        <v>100.1</v>
      </c>
      <c r="F63" s="17">
        <v>53.97</v>
      </c>
      <c r="G63" s="18">
        <v>0.18</v>
      </c>
      <c r="H63" s="17">
        <v>32.32</v>
      </c>
      <c r="I63" s="17">
        <v>55.2</v>
      </c>
      <c r="J63" s="17">
        <v>500.0</v>
      </c>
      <c r="K63" s="18">
        <v>471.5</v>
      </c>
    </row>
    <row r="64">
      <c r="A64" s="17" t="s">
        <v>23</v>
      </c>
      <c r="B64" s="17">
        <v>200.0</v>
      </c>
      <c r="C64" s="17">
        <v>3085.0</v>
      </c>
      <c r="D64" s="17">
        <v>1915.0</v>
      </c>
      <c r="E64" s="17">
        <v>199.4</v>
      </c>
      <c r="F64" s="17">
        <v>54.74</v>
      </c>
      <c r="G64" s="18">
        <v>0.17</v>
      </c>
      <c r="H64" s="17">
        <v>35.9</v>
      </c>
      <c r="I64" s="17">
        <v>73.1</v>
      </c>
      <c r="J64" s="17">
        <v>500.0</v>
      </c>
      <c r="K64" s="18">
        <v>471.5</v>
      </c>
    </row>
    <row r="65">
      <c r="A65" s="17" t="s">
        <v>23</v>
      </c>
      <c r="B65" s="17">
        <v>300.0</v>
      </c>
      <c r="C65" s="17">
        <v>2773.0</v>
      </c>
      <c r="D65" s="17">
        <v>2227.0</v>
      </c>
      <c r="E65" s="17">
        <v>282.5</v>
      </c>
      <c r="F65" s="17">
        <v>55.16</v>
      </c>
      <c r="G65" s="18">
        <v>0.23</v>
      </c>
      <c r="H65" s="17">
        <v>37.7</v>
      </c>
      <c r="I65" s="17">
        <v>80.4</v>
      </c>
      <c r="J65" s="17">
        <v>500.0</v>
      </c>
      <c r="K65" s="18">
        <v>471.5</v>
      </c>
    </row>
    <row r="66">
      <c r="A66" s="17" t="s">
        <v>23</v>
      </c>
      <c r="B66" s="17">
        <v>400.0</v>
      </c>
      <c r="C66" s="17">
        <v>2609.0</v>
      </c>
      <c r="D66" s="17">
        <v>2391.0</v>
      </c>
      <c r="E66" s="17">
        <v>399.4</v>
      </c>
      <c r="F66" s="17">
        <v>58.87</v>
      </c>
      <c r="G66" s="18">
        <v>0.56</v>
      </c>
      <c r="H66" s="17">
        <v>42.14</v>
      </c>
      <c r="I66" s="17">
        <v>79.2</v>
      </c>
      <c r="J66" s="17">
        <v>500.0</v>
      </c>
      <c r="K66" s="18">
        <v>471.5</v>
      </c>
    </row>
    <row r="67">
      <c r="A67" s="17" t="s">
        <v>23</v>
      </c>
      <c r="B67" s="17">
        <v>500.0</v>
      </c>
      <c r="C67" s="17">
        <v>2543.0</v>
      </c>
      <c r="D67" s="17">
        <v>2457.0</v>
      </c>
      <c r="E67" s="17">
        <v>498.5</v>
      </c>
      <c r="F67" s="17">
        <v>65.63</v>
      </c>
      <c r="G67" s="18">
        <v>0.54</v>
      </c>
      <c r="H67" s="17">
        <v>48.86</v>
      </c>
      <c r="I67" s="17">
        <v>73.2</v>
      </c>
      <c r="J67" s="17">
        <v>500.0</v>
      </c>
      <c r="K67" s="18">
        <v>471.5</v>
      </c>
    </row>
    <row r="68">
      <c r="A68" s="17" t="s">
        <v>23</v>
      </c>
      <c r="B68" s="17">
        <v>50.0</v>
      </c>
      <c r="C68" s="17">
        <v>1548.0</v>
      </c>
      <c r="D68" s="17">
        <v>3452.0</v>
      </c>
      <c r="E68" s="17">
        <v>50.0</v>
      </c>
      <c r="F68" s="17">
        <v>58.88</v>
      </c>
      <c r="G68" s="18">
        <v>0.27</v>
      </c>
      <c r="H68" s="17">
        <v>21.66</v>
      </c>
      <c r="I68" s="17">
        <v>47.9</v>
      </c>
      <c r="J68" s="17">
        <v>1000.0</v>
      </c>
      <c r="K68" s="18">
        <f>K67*2</f>
        <v>943</v>
      </c>
    </row>
    <row r="69">
      <c r="A69" s="17" t="s">
        <v>23</v>
      </c>
      <c r="B69" s="17">
        <v>100.0</v>
      </c>
      <c r="C69" s="17">
        <v>427.0</v>
      </c>
      <c r="D69" s="17">
        <v>4573.0</v>
      </c>
      <c r="E69" s="17">
        <v>100.0</v>
      </c>
      <c r="F69" s="17">
        <v>36.51</v>
      </c>
      <c r="G69" s="18">
        <v>0.32</v>
      </c>
      <c r="H69" s="17">
        <v>16.37</v>
      </c>
      <c r="I69" s="17">
        <v>93.3</v>
      </c>
      <c r="J69" s="17">
        <v>1000.0</v>
      </c>
      <c r="K69" s="18">
        <v>943.0</v>
      </c>
    </row>
    <row r="70">
      <c r="A70" s="17" t="s">
        <v>23</v>
      </c>
      <c r="B70" s="17">
        <v>200.0</v>
      </c>
      <c r="C70" s="17">
        <v>0.0</v>
      </c>
      <c r="D70" s="17">
        <v>5000.0</v>
      </c>
      <c r="E70" s="17">
        <v>200.1</v>
      </c>
      <c r="F70" s="17" t="s">
        <v>21</v>
      </c>
      <c r="G70" s="17" t="s">
        <v>21</v>
      </c>
      <c r="H70" s="17" t="s">
        <v>21</v>
      </c>
      <c r="I70" s="17">
        <v>142.3</v>
      </c>
      <c r="J70" s="17">
        <v>1000.0</v>
      </c>
      <c r="K70" s="18">
        <v>943.0</v>
      </c>
    </row>
    <row r="71">
      <c r="A71" s="17" t="s">
        <v>23</v>
      </c>
      <c r="B71" s="17">
        <v>300.0</v>
      </c>
      <c r="C71" s="17">
        <v>0.0</v>
      </c>
      <c r="D71" s="17">
        <v>5000.0</v>
      </c>
      <c r="E71" s="17">
        <v>299.1</v>
      </c>
      <c r="F71" s="17" t="s">
        <v>21</v>
      </c>
      <c r="G71" s="17" t="s">
        <v>21</v>
      </c>
      <c r="H71" s="17" t="s">
        <v>21</v>
      </c>
      <c r="I71" s="17">
        <v>136.5</v>
      </c>
      <c r="J71" s="17">
        <v>1000.0</v>
      </c>
      <c r="K71" s="18">
        <v>943.0</v>
      </c>
    </row>
    <row r="72">
      <c r="A72" s="17" t="s">
        <v>23</v>
      </c>
      <c r="B72" s="17">
        <v>400.0</v>
      </c>
      <c r="C72" s="17">
        <v>0.0</v>
      </c>
      <c r="D72" s="17">
        <v>5000.0</v>
      </c>
      <c r="E72" s="17">
        <v>398.8</v>
      </c>
      <c r="F72" s="17" t="s">
        <v>21</v>
      </c>
      <c r="G72" s="17" t="s">
        <v>21</v>
      </c>
      <c r="H72" s="17" t="s">
        <v>21</v>
      </c>
      <c r="I72" s="17">
        <v>137.5</v>
      </c>
      <c r="J72" s="17">
        <v>1000.0</v>
      </c>
      <c r="K72" s="18">
        <v>943.0</v>
      </c>
    </row>
    <row r="73">
      <c r="A73" s="17" t="s">
        <v>23</v>
      </c>
      <c r="B73" s="17">
        <v>500.0</v>
      </c>
      <c r="C73" s="17">
        <v>0.0</v>
      </c>
      <c r="D73" s="17">
        <v>5000.0</v>
      </c>
      <c r="E73" s="17">
        <v>496.2</v>
      </c>
      <c r="F73" s="17" t="s">
        <v>21</v>
      </c>
      <c r="G73" s="17" t="s">
        <v>21</v>
      </c>
      <c r="H73" s="17" t="s">
        <v>21</v>
      </c>
      <c r="I73" s="17">
        <v>138.0</v>
      </c>
      <c r="J73" s="17">
        <v>1000.0</v>
      </c>
      <c r="K73" s="18">
        <v>943.0</v>
      </c>
    </row>
    <row r="78">
      <c r="A78" s="17" t="s">
        <v>43</v>
      </c>
    </row>
    <row r="79">
      <c r="A79" s="16" t="s">
        <v>37</v>
      </c>
      <c r="B79" s="21">
        <v>100.0</v>
      </c>
      <c r="C79" s="21">
        <v>5000.0</v>
      </c>
      <c r="D79" s="21">
        <v>0.0</v>
      </c>
      <c r="E79" s="21">
        <v>99.1</v>
      </c>
      <c r="F79" s="21">
        <v>7.15</v>
      </c>
      <c r="G79" s="21">
        <v>0.31</v>
      </c>
      <c r="H79" s="21">
        <v>3.37</v>
      </c>
      <c r="I79" s="21">
        <v>96.3</v>
      </c>
    </row>
    <row r="80">
      <c r="A80" s="16" t="s">
        <v>37</v>
      </c>
      <c r="B80" s="21">
        <v>200.0</v>
      </c>
      <c r="C80" s="21">
        <v>3297.0</v>
      </c>
      <c r="D80" s="21">
        <v>1703.0</v>
      </c>
      <c r="E80" s="21">
        <v>197.7</v>
      </c>
      <c r="F80" s="21">
        <v>31.49</v>
      </c>
      <c r="G80" s="21">
        <v>0.41</v>
      </c>
      <c r="H80" s="21">
        <v>22.6</v>
      </c>
      <c r="I80" s="21">
        <v>116.6</v>
      </c>
    </row>
    <row r="81">
      <c r="A81" s="16" t="s">
        <v>37</v>
      </c>
      <c r="B81" s="21">
        <v>300.0</v>
      </c>
      <c r="C81" s="21">
        <v>2774.0</v>
      </c>
      <c r="D81" s="21">
        <v>2226.0</v>
      </c>
      <c r="E81" s="21">
        <v>291.2</v>
      </c>
      <c r="F81" s="21">
        <v>30.59</v>
      </c>
      <c r="G81" s="21">
        <v>0.41</v>
      </c>
      <c r="H81" s="21">
        <v>23.83</v>
      </c>
      <c r="I81" s="21">
        <v>140.0</v>
      </c>
    </row>
    <row r="82">
      <c r="A82" s="16" t="s">
        <v>37</v>
      </c>
      <c r="B82" s="21">
        <v>400.0</v>
      </c>
      <c r="C82" s="21">
        <v>2612.0</v>
      </c>
      <c r="D82" s="21">
        <v>2388.0</v>
      </c>
      <c r="E82" s="21">
        <v>390.6</v>
      </c>
      <c r="F82" s="21">
        <v>22.06</v>
      </c>
      <c r="G82" s="21">
        <v>0.46</v>
      </c>
      <c r="H82" s="21">
        <v>17.33</v>
      </c>
      <c r="I82" s="21">
        <v>202.0</v>
      </c>
    </row>
    <row r="83">
      <c r="A83" s="16" t="s">
        <v>37</v>
      </c>
      <c r="B83" s="21">
        <v>500.0</v>
      </c>
      <c r="C83" s="21">
        <v>2559.0</v>
      </c>
      <c r="D83" s="21">
        <v>2441.0</v>
      </c>
      <c r="E83" s="21">
        <v>478.5</v>
      </c>
      <c r="F83" s="21">
        <v>23.26</v>
      </c>
      <c r="G83" s="21">
        <v>0.49</v>
      </c>
      <c r="H83" s="21">
        <v>19.74</v>
      </c>
      <c r="I83" s="21">
        <v>190.8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41</v>
      </c>
      <c r="K1" s="17" t="s">
        <v>42</v>
      </c>
    </row>
    <row r="2">
      <c r="A2" s="16" t="s">
        <v>20</v>
      </c>
      <c r="B2" s="21">
        <v>100.0</v>
      </c>
      <c r="C2" s="21">
        <v>2605.0</v>
      </c>
      <c r="D2" s="21">
        <v>2395.0</v>
      </c>
      <c r="E2" s="21">
        <v>99.1</v>
      </c>
      <c r="F2" s="21">
        <v>226.88</v>
      </c>
      <c r="G2" s="21">
        <v>0.42</v>
      </c>
      <c r="H2" s="21">
        <v>179.8</v>
      </c>
      <c r="I2" s="21">
        <v>20.4</v>
      </c>
      <c r="J2" s="21">
        <v>10.0</v>
      </c>
      <c r="K2" s="18">
        <f t="shared" ref="K2:K7" si="1">6.66</f>
        <v>6.66</v>
      </c>
    </row>
    <row r="3">
      <c r="A3" s="16" t="s">
        <v>20</v>
      </c>
      <c r="B3" s="21">
        <v>200.0</v>
      </c>
      <c r="C3" s="21">
        <v>2554.0</v>
      </c>
      <c r="D3" s="21">
        <v>2446.0</v>
      </c>
      <c r="E3" s="21">
        <v>195.0</v>
      </c>
      <c r="F3" s="21">
        <v>230.9</v>
      </c>
      <c r="G3" s="21">
        <v>0.54</v>
      </c>
      <c r="H3" s="21">
        <v>201.73</v>
      </c>
      <c r="I3" s="21">
        <v>20.5</v>
      </c>
      <c r="J3" s="21">
        <v>10.0</v>
      </c>
      <c r="K3" s="18">
        <f t="shared" si="1"/>
        <v>6.66</v>
      </c>
    </row>
    <row r="4">
      <c r="A4" s="16" t="s">
        <v>20</v>
      </c>
      <c r="B4" s="21">
        <v>300.0</v>
      </c>
      <c r="C4" s="21">
        <v>2563.0</v>
      </c>
      <c r="D4" s="21">
        <v>2437.0</v>
      </c>
      <c r="E4" s="21">
        <v>291.2</v>
      </c>
      <c r="F4" s="21">
        <v>238.23</v>
      </c>
      <c r="G4" s="21">
        <v>0.62</v>
      </c>
      <c r="H4" s="21">
        <v>212.72</v>
      </c>
      <c r="I4" s="21">
        <v>20.6</v>
      </c>
      <c r="J4" s="21">
        <v>10.0</v>
      </c>
      <c r="K4" s="18">
        <f t="shared" si="1"/>
        <v>6.66</v>
      </c>
    </row>
    <row r="5">
      <c r="A5" s="16" t="s">
        <v>20</v>
      </c>
      <c r="B5" s="21">
        <v>400.0</v>
      </c>
      <c r="C5" s="21">
        <v>2516.0</v>
      </c>
      <c r="D5" s="21">
        <v>2484.0</v>
      </c>
      <c r="E5" s="21">
        <v>378.4</v>
      </c>
      <c r="F5" s="21">
        <v>242.72</v>
      </c>
      <c r="G5" s="21">
        <v>0.74</v>
      </c>
      <c r="H5" s="21">
        <v>217.92</v>
      </c>
      <c r="I5" s="21">
        <v>20.5</v>
      </c>
      <c r="J5" s="21">
        <v>10.0</v>
      </c>
      <c r="K5" s="18">
        <f t="shared" si="1"/>
        <v>6.66</v>
      </c>
    </row>
    <row r="6">
      <c r="A6" s="16" t="s">
        <v>20</v>
      </c>
      <c r="B6" s="21">
        <v>500.0</v>
      </c>
      <c r="C6" s="21">
        <v>2508.0</v>
      </c>
      <c r="D6" s="21">
        <v>2488.0</v>
      </c>
      <c r="E6" s="21">
        <v>489.8</v>
      </c>
      <c r="F6" s="21">
        <v>235.91</v>
      </c>
      <c r="G6" s="21">
        <v>0.65</v>
      </c>
      <c r="H6" s="21">
        <v>215.47</v>
      </c>
      <c r="I6" s="21">
        <v>20.7</v>
      </c>
      <c r="J6" s="21">
        <v>10.0</v>
      </c>
      <c r="K6" s="18">
        <f t="shared" si="1"/>
        <v>6.66</v>
      </c>
    </row>
    <row r="7">
      <c r="A7" s="16" t="s">
        <v>20</v>
      </c>
      <c r="B7" s="21">
        <v>50.0</v>
      </c>
      <c r="C7" s="21">
        <v>2843.0</v>
      </c>
      <c r="D7" s="21">
        <v>2157.0</v>
      </c>
      <c r="E7" s="21">
        <v>49.8</v>
      </c>
      <c r="F7" s="21">
        <v>233.46</v>
      </c>
      <c r="G7" s="21">
        <v>0.37</v>
      </c>
      <c r="H7" s="21">
        <v>161.99</v>
      </c>
      <c r="I7" s="21">
        <v>18.3</v>
      </c>
      <c r="J7" s="21">
        <v>20.0</v>
      </c>
      <c r="K7" s="18">
        <f t="shared" si="1"/>
        <v>6.66</v>
      </c>
    </row>
    <row r="8">
      <c r="A8" s="16" t="s">
        <v>20</v>
      </c>
      <c r="B8" s="21">
        <v>100.0</v>
      </c>
      <c r="C8" s="21">
        <v>2609.0</v>
      </c>
      <c r="D8" s="21">
        <v>2391.0</v>
      </c>
      <c r="E8" s="21">
        <v>99.2</v>
      </c>
      <c r="F8" s="21">
        <v>232.36</v>
      </c>
      <c r="G8" s="21">
        <v>0.47</v>
      </c>
      <c r="H8" s="21">
        <v>182.8</v>
      </c>
      <c r="I8" s="21">
        <v>19.3</v>
      </c>
      <c r="J8" s="21">
        <v>20.0</v>
      </c>
      <c r="K8" s="18">
        <f t="shared" ref="K8:K37" si="2">J8*0.66</f>
        <v>13.2</v>
      </c>
    </row>
    <row r="9">
      <c r="A9" s="16" t="s">
        <v>20</v>
      </c>
      <c r="B9" s="21">
        <v>200.0</v>
      </c>
      <c r="C9" s="21">
        <v>2549.0</v>
      </c>
      <c r="D9" s="21">
        <v>2451.0</v>
      </c>
      <c r="E9" s="21">
        <v>194.9</v>
      </c>
      <c r="F9" s="21">
        <v>243.91</v>
      </c>
      <c r="G9" s="21">
        <v>0.57</v>
      </c>
      <c r="H9" s="21">
        <v>209.28</v>
      </c>
      <c r="I9" s="21">
        <v>19.4</v>
      </c>
      <c r="J9" s="21">
        <v>20.0</v>
      </c>
      <c r="K9" s="18">
        <f t="shared" si="2"/>
        <v>13.2</v>
      </c>
    </row>
    <row r="10">
      <c r="A10" s="16" t="s">
        <v>20</v>
      </c>
      <c r="B10" s="21">
        <v>300.0</v>
      </c>
      <c r="C10" s="21">
        <v>2547.0</v>
      </c>
      <c r="D10" s="21">
        <v>2453.0</v>
      </c>
      <c r="E10" s="21">
        <v>290.3</v>
      </c>
      <c r="F10" s="21">
        <v>248.11</v>
      </c>
      <c r="G10" s="21">
        <v>0.68</v>
      </c>
      <c r="H10" s="21">
        <v>223.52</v>
      </c>
      <c r="I10" s="21">
        <v>19.4</v>
      </c>
      <c r="J10" s="21">
        <v>20.0</v>
      </c>
      <c r="K10" s="18">
        <f t="shared" si="2"/>
        <v>13.2</v>
      </c>
    </row>
    <row r="11">
      <c r="A11" s="16" t="s">
        <v>20</v>
      </c>
      <c r="B11" s="21">
        <v>400.0</v>
      </c>
      <c r="C11" s="21">
        <v>2510.0</v>
      </c>
      <c r="D11" s="21">
        <v>2490.0</v>
      </c>
      <c r="E11" s="21">
        <v>390.6</v>
      </c>
      <c r="F11" s="21">
        <v>255.8</v>
      </c>
      <c r="G11" s="21">
        <v>0.78</v>
      </c>
      <c r="H11" s="21">
        <v>220.78</v>
      </c>
      <c r="I11" s="21">
        <v>19.5</v>
      </c>
      <c r="J11" s="21">
        <v>20.0</v>
      </c>
      <c r="K11" s="18">
        <f t="shared" si="2"/>
        <v>13.2</v>
      </c>
    </row>
    <row r="12">
      <c r="A12" s="16" t="s">
        <v>20</v>
      </c>
      <c r="B12" s="21">
        <v>500.0</v>
      </c>
      <c r="C12" s="21">
        <v>2508.0</v>
      </c>
      <c r="D12" s="21">
        <v>2492.0</v>
      </c>
      <c r="E12" s="21">
        <v>488.4</v>
      </c>
      <c r="F12" s="21">
        <v>250.71</v>
      </c>
      <c r="G12" s="21">
        <v>0.89</v>
      </c>
      <c r="H12" s="21">
        <v>216.5</v>
      </c>
      <c r="I12" s="21">
        <v>19.5</v>
      </c>
      <c r="J12" s="21">
        <v>20.0</v>
      </c>
      <c r="K12" s="18">
        <f t="shared" si="2"/>
        <v>13.2</v>
      </c>
    </row>
    <row r="13">
      <c r="A13" s="16" t="s">
        <v>20</v>
      </c>
      <c r="B13" s="21">
        <v>50.0</v>
      </c>
      <c r="C13" s="21">
        <v>3051.0</v>
      </c>
      <c r="D13" s="21">
        <v>1949.0</v>
      </c>
      <c r="E13" s="21">
        <v>49.8</v>
      </c>
      <c r="F13" s="21">
        <v>248.41</v>
      </c>
      <c r="G13" s="21">
        <v>0.47</v>
      </c>
      <c r="H13" s="21">
        <v>183.27</v>
      </c>
      <c r="I13" s="21">
        <v>16.0</v>
      </c>
      <c r="J13" s="21">
        <v>50.0</v>
      </c>
      <c r="K13" s="18">
        <f t="shared" si="2"/>
        <v>33</v>
      </c>
    </row>
    <row r="14">
      <c r="A14" s="16" t="s">
        <v>20</v>
      </c>
      <c r="B14" s="21">
        <v>200.0</v>
      </c>
      <c r="C14" s="21">
        <v>2564.0</v>
      </c>
      <c r="D14" s="21">
        <v>2436.0</v>
      </c>
      <c r="E14" s="21">
        <v>196.5</v>
      </c>
      <c r="F14" s="21">
        <v>277.5</v>
      </c>
      <c r="G14" s="21">
        <v>0.71</v>
      </c>
      <c r="H14" s="21">
        <v>217.94</v>
      </c>
      <c r="I14" s="21">
        <v>17.2</v>
      </c>
      <c r="J14" s="21">
        <v>50.0</v>
      </c>
      <c r="K14" s="18">
        <f t="shared" si="2"/>
        <v>33</v>
      </c>
    </row>
    <row r="15">
      <c r="A15" s="16" t="s">
        <v>20</v>
      </c>
      <c r="B15" s="21">
        <v>300.0</v>
      </c>
      <c r="C15" s="21">
        <v>2545.0</v>
      </c>
      <c r="D15" s="21">
        <v>2455.0</v>
      </c>
      <c r="E15" s="21">
        <v>291.1</v>
      </c>
      <c r="F15" s="21">
        <v>285.07</v>
      </c>
      <c r="G15" s="21">
        <v>0.82</v>
      </c>
      <c r="H15" s="21">
        <v>234.93</v>
      </c>
      <c r="I15" s="21">
        <v>17.0</v>
      </c>
      <c r="J15" s="21">
        <v>50.0</v>
      </c>
      <c r="K15" s="18">
        <f t="shared" si="2"/>
        <v>33</v>
      </c>
    </row>
    <row r="16">
      <c r="A16" s="16" t="s">
        <v>20</v>
      </c>
      <c r="B16" s="21">
        <v>400.0</v>
      </c>
      <c r="C16" s="21">
        <v>2511.0</v>
      </c>
      <c r="D16" s="21">
        <v>2489.0</v>
      </c>
      <c r="E16" s="21">
        <v>392.2</v>
      </c>
      <c r="F16" s="21">
        <v>292.84</v>
      </c>
      <c r="G16" s="21">
        <v>0.92</v>
      </c>
      <c r="H16" s="21">
        <v>238.94</v>
      </c>
      <c r="I16" s="21">
        <v>16.7</v>
      </c>
      <c r="J16" s="21">
        <v>50.0</v>
      </c>
      <c r="K16" s="18">
        <f t="shared" si="2"/>
        <v>33</v>
      </c>
    </row>
    <row r="17">
      <c r="A17" s="16" t="s">
        <v>20</v>
      </c>
      <c r="B17" s="21">
        <v>500.0</v>
      </c>
      <c r="C17" s="21">
        <v>2511.0</v>
      </c>
      <c r="D17" s="21">
        <v>2489.0</v>
      </c>
      <c r="E17" s="21">
        <v>478.2</v>
      </c>
      <c r="F17" s="21">
        <v>294.53</v>
      </c>
      <c r="G17" s="21">
        <v>0.99</v>
      </c>
      <c r="H17" s="21">
        <v>240.09</v>
      </c>
      <c r="I17" s="21">
        <v>16.7</v>
      </c>
      <c r="J17" s="21">
        <v>50.0</v>
      </c>
      <c r="K17" s="18">
        <f t="shared" si="2"/>
        <v>33</v>
      </c>
    </row>
    <row r="18">
      <c r="A18" s="16" t="s">
        <v>20</v>
      </c>
      <c r="B18" s="21">
        <v>50.0</v>
      </c>
      <c r="C18" s="21">
        <v>3296.0</v>
      </c>
      <c r="D18" s="21">
        <v>1704.0</v>
      </c>
      <c r="E18" s="21">
        <v>49.8</v>
      </c>
      <c r="F18" s="21">
        <v>234.72</v>
      </c>
      <c r="G18" s="21">
        <v>0.62</v>
      </c>
      <c r="H18" s="21">
        <v>126.25</v>
      </c>
      <c r="I18" s="21">
        <v>17.7</v>
      </c>
      <c r="J18" s="21">
        <v>100.0</v>
      </c>
      <c r="K18" s="18">
        <f t="shared" si="2"/>
        <v>66</v>
      </c>
    </row>
    <row r="19">
      <c r="A19" s="16" t="s">
        <v>20</v>
      </c>
      <c r="B19" s="21">
        <v>100.0</v>
      </c>
      <c r="C19" s="21">
        <v>2092.0</v>
      </c>
      <c r="D19" s="21">
        <v>2908.0</v>
      </c>
      <c r="E19" s="21">
        <v>98.9</v>
      </c>
      <c r="F19" s="21">
        <v>295.75</v>
      </c>
      <c r="G19" s="21">
        <v>0.78</v>
      </c>
      <c r="H19" s="21">
        <v>201.64</v>
      </c>
      <c r="I19" s="21">
        <v>14.5</v>
      </c>
      <c r="J19" s="21">
        <v>100.0</v>
      </c>
      <c r="K19" s="18">
        <f t="shared" si="2"/>
        <v>66</v>
      </c>
    </row>
    <row r="20">
      <c r="A20" s="16" t="s">
        <v>20</v>
      </c>
      <c r="B20" s="21">
        <v>200.0</v>
      </c>
      <c r="C20" s="21">
        <v>1971.0</v>
      </c>
      <c r="D20" s="21">
        <v>3029.0</v>
      </c>
      <c r="E20" s="21">
        <v>198.6</v>
      </c>
      <c r="F20" s="21">
        <v>293.63</v>
      </c>
      <c r="G20" s="21">
        <v>0.96</v>
      </c>
      <c r="H20" s="21">
        <v>217.58</v>
      </c>
      <c r="I20" s="21">
        <v>15.7</v>
      </c>
      <c r="J20" s="21">
        <v>100.0</v>
      </c>
      <c r="K20" s="18">
        <f t="shared" si="2"/>
        <v>66</v>
      </c>
    </row>
    <row r="21">
      <c r="A21" s="16" t="s">
        <v>20</v>
      </c>
      <c r="B21" s="21">
        <v>300.0</v>
      </c>
      <c r="C21" s="21">
        <v>1488.0</v>
      </c>
      <c r="D21" s="21">
        <v>3512.0</v>
      </c>
      <c r="E21" s="21">
        <v>290.3</v>
      </c>
      <c r="F21" s="21">
        <v>296.06</v>
      </c>
      <c r="G21" s="21">
        <v>0.93</v>
      </c>
      <c r="H21" s="21">
        <v>224.13</v>
      </c>
      <c r="I21" s="21">
        <v>15.9</v>
      </c>
      <c r="J21" s="21">
        <v>100.0</v>
      </c>
      <c r="K21" s="18">
        <f t="shared" si="2"/>
        <v>66</v>
      </c>
    </row>
    <row r="22">
      <c r="A22" s="16" t="s">
        <v>20</v>
      </c>
      <c r="B22" s="21">
        <v>400.0</v>
      </c>
      <c r="C22" s="21">
        <v>1987.0</v>
      </c>
      <c r="D22" s="21">
        <v>3013.0</v>
      </c>
      <c r="E22" s="21">
        <v>389.0</v>
      </c>
      <c r="F22" s="21">
        <v>293.2</v>
      </c>
      <c r="G22" s="21">
        <v>80.72</v>
      </c>
      <c r="H22" s="21">
        <v>193.56</v>
      </c>
      <c r="I22" s="21">
        <v>16.7</v>
      </c>
      <c r="J22" s="21">
        <v>100.0</v>
      </c>
      <c r="K22" s="18">
        <f t="shared" si="2"/>
        <v>66</v>
      </c>
    </row>
    <row r="23">
      <c r="A23" s="16" t="s">
        <v>20</v>
      </c>
      <c r="B23" s="21">
        <v>500.0</v>
      </c>
      <c r="C23" s="21">
        <v>1385.0</v>
      </c>
      <c r="D23" s="21">
        <v>3613.0</v>
      </c>
      <c r="E23" s="21">
        <v>483.5</v>
      </c>
      <c r="F23" s="21">
        <v>293.78</v>
      </c>
      <c r="G23" s="21">
        <v>1.05</v>
      </c>
      <c r="H23" s="21">
        <v>223.76</v>
      </c>
      <c r="I23" s="21">
        <v>16.5</v>
      </c>
      <c r="J23" s="21">
        <v>100.0</v>
      </c>
      <c r="K23" s="18">
        <f t="shared" si="2"/>
        <v>66</v>
      </c>
    </row>
    <row r="24">
      <c r="A24" s="16" t="s">
        <v>20</v>
      </c>
      <c r="B24" s="21">
        <v>50.0</v>
      </c>
      <c r="C24" s="21">
        <v>0.0</v>
      </c>
      <c r="D24" s="21">
        <v>5000.0</v>
      </c>
      <c r="E24" s="21">
        <v>49.8</v>
      </c>
      <c r="F24" s="16" t="s">
        <v>21</v>
      </c>
      <c r="G24" s="16" t="s">
        <v>21</v>
      </c>
      <c r="H24" s="16" t="s">
        <v>21</v>
      </c>
      <c r="I24" s="21">
        <v>14.4</v>
      </c>
      <c r="J24" s="21">
        <v>500.0</v>
      </c>
      <c r="K24" s="18">
        <f t="shared" si="2"/>
        <v>330</v>
      </c>
    </row>
    <row r="25">
      <c r="A25" s="16" t="s">
        <v>20</v>
      </c>
      <c r="B25" s="21">
        <v>100.0</v>
      </c>
      <c r="C25" s="21">
        <v>0.0</v>
      </c>
      <c r="D25" s="21">
        <v>5000.0</v>
      </c>
      <c r="E25" s="21">
        <v>99.6</v>
      </c>
      <c r="F25" s="16" t="s">
        <v>21</v>
      </c>
      <c r="G25" s="16" t="s">
        <v>21</v>
      </c>
      <c r="H25" s="16" t="s">
        <v>21</v>
      </c>
      <c r="I25" s="21">
        <v>15.6</v>
      </c>
      <c r="J25" s="21">
        <v>500.0</v>
      </c>
      <c r="K25" s="18">
        <f t="shared" si="2"/>
        <v>330</v>
      </c>
    </row>
    <row r="26">
      <c r="A26" s="16" t="s">
        <v>20</v>
      </c>
      <c r="B26" s="21">
        <v>200.0</v>
      </c>
      <c r="C26" s="21">
        <v>0.0</v>
      </c>
      <c r="D26" s="21">
        <v>5000.0</v>
      </c>
      <c r="E26" s="21">
        <v>196.9</v>
      </c>
      <c r="F26" s="16" t="s">
        <v>21</v>
      </c>
      <c r="G26" s="16" t="s">
        <v>21</v>
      </c>
      <c r="H26" s="16" t="s">
        <v>21</v>
      </c>
      <c r="I26" s="21">
        <v>16.2</v>
      </c>
      <c r="J26" s="21">
        <v>500.0</v>
      </c>
      <c r="K26" s="18">
        <f t="shared" si="2"/>
        <v>330</v>
      </c>
    </row>
    <row r="27">
      <c r="A27" s="16" t="s">
        <v>20</v>
      </c>
      <c r="B27" s="21">
        <v>300.0</v>
      </c>
      <c r="C27" s="21">
        <v>0.0</v>
      </c>
      <c r="D27" s="21">
        <v>5000.0</v>
      </c>
      <c r="E27" s="21">
        <v>292.1</v>
      </c>
      <c r="F27" s="16" t="s">
        <v>21</v>
      </c>
      <c r="G27" s="16" t="s">
        <v>21</v>
      </c>
      <c r="H27" s="16" t="s">
        <v>21</v>
      </c>
      <c r="I27" s="21">
        <v>16.6</v>
      </c>
      <c r="J27" s="21">
        <v>500.0</v>
      </c>
      <c r="K27" s="18">
        <f t="shared" si="2"/>
        <v>330</v>
      </c>
    </row>
    <row r="28">
      <c r="A28" s="16" t="s">
        <v>20</v>
      </c>
      <c r="B28" s="21">
        <v>400.0</v>
      </c>
      <c r="C28" s="21">
        <v>0.0</v>
      </c>
      <c r="D28" s="21">
        <v>5000.0</v>
      </c>
      <c r="E28" s="21">
        <v>381.5</v>
      </c>
      <c r="F28" s="16" t="s">
        <v>21</v>
      </c>
      <c r="G28" s="16" t="s">
        <v>21</v>
      </c>
      <c r="H28" s="16" t="s">
        <v>21</v>
      </c>
      <c r="I28" s="21">
        <v>16.6</v>
      </c>
      <c r="J28" s="21">
        <v>500.0</v>
      </c>
      <c r="K28" s="18">
        <f t="shared" si="2"/>
        <v>330</v>
      </c>
    </row>
    <row r="29">
      <c r="A29" s="16" t="s">
        <v>20</v>
      </c>
      <c r="B29" s="21">
        <v>500.0</v>
      </c>
      <c r="C29" s="21">
        <v>0.0</v>
      </c>
      <c r="D29" s="21">
        <v>5000.0</v>
      </c>
      <c r="E29" s="21">
        <v>476.8</v>
      </c>
      <c r="F29" s="16" t="s">
        <v>21</v>
      </c>
      <c r="G29" s="16" t="s">
        <v>21</v>
      </c>
      <c r="H29" s="16" t="s">
        <v>21</v>
      </c>
      <c r="I29" s="21">
        <v>16.7</v>
      </c>
      <c r="J29" s="21">
        <v>500.0</v>
      </c>
      <c r="K29" s="18">
        <f t="shared" si="2"/>
        <v>330</v>
      </c>
    </row>
    <row r="30">
      <c r="A30" s="16" t="s">
        <v>20</v>
      </c>
      <c r="B30" s="21">
        <v>50.0</v>
      </c>
      <c r="C30" s="21">
        <v>0.0</v>
      </c>
      <c r="D30" s="21">
        <v>5000.0</v>
      </c>
      <c r="E30" s="21">
        <v>50.0</v>
      </c>
      <c r="F30" s="16" t="s">
        <v>21</v>
      </c>
      <c r="G30" s="16" t="s">
        <v>21</v>
      </c>
      <c r="H30" s="16" t="s">
        <v>21</v>
      </c>
      <c r="I30" s="21">
        <v>14.5</v>
      </c>
      <c r="J30" s="21">
        <v>1000.0</v>
      </c>
      <c r="K30" s="18">
        <f t="shared" si="2"/>
        <v>660</v>
      </c>
    </row>
    <row r="31">
      <c r="A31" s="16" t="s">
        <v>23</v>
      </c>
      <c r="B31" s="21">
        <v>50.0</v>
      </c>
      <c r="C31" s="21">
        <v>1707.0</v>
      </c>
      <c r="D31" s="21">
        <v>3293.0</v>
      </c>
      <c r="E31" s="21">
        <v>49.7</v>
      </c>
      <c r="F31" s="21">
        <v>292.0</v>
      </c>
      <c r="G31" s="21">
        <v>0.42</v>
      </c>
      <c r="H31" s="21">
        <v>188.65</v>
      </c>
      <c r="I31" s="21">
        <v>13.9</v>
      </c>
      <c r="J31" s="21">
        <v>10.0</v>
      </c>
      <c r="K31" s="18">
        <f t="shared" si="2"/>
        <v>6.6</v>
      </c>
    </row>
    <row r="32">
      <c r="A32" s="16" t="s">
        <v>23</v>
      </c>
      <c r="B32" s="21">
        <v>100.0</v>
      </c>
      <c r="C32" s="21">
        <v>844.0</v>
      </c>
      <c r="D32" s="21">
        <v>4156.0</v>
      </c>
      <c r="E32" s="21">
        <v>98.9</v>
      </c>
      <c r="F32" s="21">
        <v>294.29</v>
      </c>
      <c r="G32" s="21">
        <v>0.56</v>
      </c>
      <c r="H32" s="21">
        <v>192.29</v>
      </c>
      <c r="I32" s="21">
        <v>14.7</v>
      </c>
      <c r="J32" s="21">
        <v>10.0</v>
      </c>
      <c r="K32" s="18">
        <f t="shared" si="2"/>
        <v>6.6</v>
      </c>
    </row>
    <row r="33">
      <c r="A33" s="16" t="s">
        <v>23</v>
      </c>
      <c r="B33" s="21">
        <v>200.0</v>
      </c>
      <c r="C33" s="21">
        <v>474.0</v>
      </c>
      <c r="D33" s="21">
        <v>4526.0</v>
      </c>
      <c r="E33" s="21">
        <v>196.4</v>
      </c>
      <c r="F33" s="21">
        <v>279.4</v>
      </c>
      <c r="G33" s="21">
        <v>0.7</v>
      </c>
      <c r="H33" s="21">
        <v>150.62</v>
      </c>
      <c r="I33" s="21">
        <v>15.7</v>
      </c>
      <c r="J33" s="21">
        <v>10.0</v>
      </c>
      <c r="K33" s="18">
        <f t="shared" si="2"/>
        <v>6.6</v>
      </c>
    </row>
    <row r="34">
      <c r="A34" s="16" t="s">
        <v>23</v>
      </c>
      <c r="B34" s="21">
        <v>300.0</v>
      </c>
      <c r="C34" s="21">
        <v>313.0</v>
      </c>
      <c r="D34" s="21">
        <v>4687.0</v>
      </c>
      <c r="E34" s="21">
        <v>292.1</v>
      </c>
      <c r="F34" s="21">
        <v>287.44</v>
      </c>
      <c r="G34" s="21">
        <v>0.83</v>
      </c>
      <c r="H34" s="21">
        <v>104.64</v>
      </c>
      <c r="I34" s="21">
        <v>16.0</v>
      </c>
      <c r="J34" s="21">
        <v>10.0</v>
      </c>
      <c r="K34" s="18">
        <f t="shared" si="2"/>
        <v>6.6</v>
      </c>
    </row>
    <row r="35">
      <c r="A35" s="16" t="s">
        <v>23</v>
      </c>
      <c r="B35" s="21">
        <v>400.0</v>
      </c>
      <c r="C35" s="21">
        <v>362.0</v>
      </c>
      <c r="D35" s="21">
        <v>4638.0</v>
      </c>
      <c r="E35" s="21">
        <v>387.0</v>
      </c>
      <c r="F35" s="21">
        <v>291.26</v>
      </c>
      <c r="G35" s="21">
        <v>0.94</v>
      </c>
      <c r="H35" s="21">
        <v>100.95</v>
      </c>
      <c r="I35" s="21">
        <v>16.4</v>
      </c>
      <c r="J35" s="21">
        <v>10.0</v>
      </c>
      <c r="K35" s="18">
        <f t="shared" si="2"/>
        <v>6.6</v>
      </c>
    </row>
    <row r="36">
      <c r="A36" s="16" t="s">
        <v>23</v>
      </c>
      <c r="B36" s="21">
        <v>500.0</v>
      </c>
      <c r="C36" s="21">
        <v>427.0</v>
      </c>
      <c r="D36" s="21">
        <v>4573.0</v>
      </c>
      <c r="E36" s="21">
        <v>485.4</v>
      </c>
      <c r="F36" s="21">
        <v>283.46</v>
      </c>
      <c r="G36" s="21">
        <v>1.06</v>
      </c>
      <c r="H36" s="21">
        <v>106.41</v>
      </c>
      <c r="I36" s="21">
        <v>16.4</v>
      </c>
      <c r="J36" s="21">
        <v>10.0</v>
      </c>
      <c r="K36" s="18">
        <f t="shared" si="2"/>
        <v>6.6</v>
      </c>
    </row>
    <row r="37">
      <c r="A37" s="16" t="s">
        <v>23</v>
      </c>
      <c r="B37" s="21">
        <v>50.0</v>
      </c>
      <c r="C37" s="21">
        <v>1068.0</v>
      </c>
      <c r="D37" s="21">
        <v>3932.0</v>
      </c>
      <c r="E37" s="21">
        <v>49.8</v>
      </c>
      <c r="F37" s="21">
        <v>293.44</v>
      </c>
      <c r="G37" s="21">
        <v>0.53</v>
      </c>
      <c r="H37" s="21">
        <v>149.55</v>
      </c>
      <c r="I37" s="21">
        <v>13.3</v>
      </c>
      <c r="J37" s="21">
        <v>20.0</v>
      </c>
      <c r="K37" s="18">
        <f t="shared" si="2"/>
        <v>13.2</v>
      </c>
    </row>
    <row r="38">
      <c r="A38" s="16" t="s">
        <v>23</v>
      </c>
      <c r="B38" s="21">
        <v>100.0</v>
      </c>
      <c r="C38" s="21">
        <v>597.0</v>
      </c>
      <c r="D38" s="21">
        <v>4403.0</v>
      </c>
      <c r="E38" s="21">
        <v>99.5</v>
      </c>
      <c r="F38" s="21">
        <v>294.56</v>
      </c>
      <c r="G38" s="21">
        <v>0.57</v>
      </c>
      <c r="H38" s="21">
        <v>108.31</v>
      </c>
      <c r="I38" s="21">
        <v>14.6</v>
      </c>
      <c r="J38" s="21">
        <v>20.0</v>
      </c>
      <c r="K38" s="17">
        <v>9.43</v>
      </c>
    </row>
    <row r="39">
      <c r="A39" s="16" t="s">
        <v>23</v>
      </c>
      <c r="B39" s="21">
        <v>200.0</v>
      </c>
      <c r="C39" s="21">
        <v>590.0</v>
      </c>
      <c r="D39" s="21">
        <v>4410.0</v>
      </c>
      <c r="E39" s="21">
        <v>197.8</v>
      </c>
      <c r="F39" s="21">
        <v>290.88</v>
      </c>
      <c r="G39" s="21">
        <v>0.7</v>
      </c>
      <c r="H39" s="21">
        <v>186.44</v>
      </c>
      <c r="I39" s="21">
        <v>15.7</v>
      </c>
      <c r="J39" s="21">
        <v>20.0</v>
      </c>
      <c r="K39" s="17">
        <v>9.43</v>
      </c>
    </row>
    <row r="40">
      <c r="A40" s="16" t="s">
        <v>23</v>
      </c>
      <c r="B40" s="21">
        <v>300.0</v>
      </c>
      <c r="C40" s="21">
        <v>374.0</v>
      </c>
      <c r="D40" s="21">
        <v>4626.0</v>
      </c>
      <c r="E40" s="21">
        <v>294.4</v>
      </c>
      <c r="F40" s="21">
        <v>291.9</v>
      </c>
      <c r="G40" s="21">
        <v>0.81</v>
      </c>
      <c r="H40" s="21">
        <v>142.33</v>
      </c>
      <c r="I40" s="21">
        <v>16.1</v>
      </c>
      <c r="J40" s="21">
        <v>20.0</v>
      </c>
      <c r="K40" s="17">
        <v>9.43</v>
      </c>
    </row>
    <row r="41">
      <c r="A41" s="16" t="s">
        <v>23</v>
      </c>
      <c r="B41" s="21">
        <v>400.0</v>
      </c>
      <c r="C41" s="21">
        <v>347.0</v>
      </c>
      <c r="D41" s="21">
        <v>4653.0</v>
      </c>
      <c r="E41" s="21">
        <v>382.0</v>
      </c>
      <c r="F41" s="21">
        <v>262.24</v>
      </c>
      <c r="G41" s="21">
        <v>0.95</v>
      </c>
      <c r="H41" s="21">
        <v>99.11</v>
      </c>
      <c r="I41" s="21">
        <v>16.3</v>
      </c>
      <c r="J41" s="21">
        <v>20.0</v>
      </c>
      <c r="K41" s="17">
        <v>9.43</v>
      </c>
    </row>
    <row r="42">
      <c r="A42" s="16" t="s">
        <v>23</v>
      </c>
      <c r="B42" s="21">
        <v>500.0</v>
      </c>
      <c r="C42" s="21">
        <v>804.0</v>
      </c>
      <c r="D42" s="21">
        <v>4196.0</v>
      </c>
      <c r="E42" s="21">
        <v>476.0</v>
      </c>
      <c r="F42" s="21">
        <v>294.15</v>
      </c>
      <c r="G42" s="21">
        <v>2.12</v>
      </c>
      <c r="H42" s="21">
        <v>186.46</v>
      </c>
      <c r="I42" s="21">
        <v>16.6</v>
      </c>
      <c r="J42" s="21">
        <v>20.0</v>
      </c>
      <c r="K42" s="17">
        <v>9.43</v>
      </c>
    </row>
    <row r="43">
      <c r="A43" s="16" t="s">
        <v>23</v>
      </c>
      <c r="B43" s="21">
        <v>50.0</v>
      </c>
      <c r="C43" s="21">
        <v>960.0</v>
      </c>
      <c r="D43" s="21">
        <v>4040.0</v>
      </c>
      <c r="E43" s="21">
        <v>49.9</v>
      </c>
      <c r="F43" s="21">
        <v>291.37</v>
      </c>
      <c r="G43" s="21">
        <v>0.72</v>
      </c>
      <c r="H43" s="21">
        <v>122.7</v>
      </c>
      <c r="I43" s="21">
        <v>12.7</v>
      </c>
      <c r="J43" s="21">
        <v>50.0</v>
      </c>
      <c r="K43" s="17">
        <v>9.43</v>
      </c>
    </row>
    <row r="44">
      <c r="A44" s="16" t="s">
        <v>23</v>
      </c>
      <c r="B44" s="21">
        <v>100.0</v>
      </c>
      <c r="C44" s="21">
        <v>580.0</v>
      </c>
      <c r="D44" s="21">
        <v>4420.0</v>
      </c>
      <c r="E44" s="21">
        <v>99.2</v>
      </c>
      <c r="F44" s="21">
        <v>294.34</v>
      </c>
      <c r="G44" s="21">
        <v>0.69</v>
      </c>
      <c r="H44" s="21">
        <v>108.01</v>
      </c>
      <c r="I44" s="21">
        <v>14.5</v>
      </c>
      <c r="J44" s="21">
        <v>50.0</v>
      </c>
      <c r="K44" s="17">
        <v>18.81</v>
      </c>
    </row>
    <row r="45">
      <c r="A45" s="16" t="s">
        <v>23</v>
      </c>
      <c r="B45" s="21">
        <v>200.0</v>
      </c>
      <c r="C45" s="21">
        <v>410.0</v>
      </c>
      <c r="D45" s="21">
        <v>4590.0</v>
      </c>
      <c r="E45" s="21">
        <v>196.2</v>
      </c>
      <c r="F45" s="21">
        <v>277.34</v>
      </c>
      <c r="G45" s="21">
        <v>0.86</v>
      </c>
      <c r="H45" s="21">
        <v>136.63</v>
      </c>
      <c r="I45" s="21">
        <v>15.7</v>
      </c>
      <c r="J45" s="21">
        <v>50.0</v>
      </c>
      <c r="K45" s="17">
        <v>18.81</v>
      </c>
    </row>
    <row r="46">
      <c r="A46" s="16" t="s">
        <v>23</v>
      </c>
      <c r="B46" s="21">
        <v>300.0</v>
      </c>
      <c r="C46" s="21">
        <v>100.0</v>
      </c>
      <c r="D46" s="21">
        <v>4900.0</v>
      </c>
      <c r="E46" s="21">
        <v>290.0</v>
      </c>
      <c r="F46" s="21">
        <v>290.22</v>
      </c>
      <c r="G46" s="21">
        <v>27.06</v>
      </c>
      <c r="H46" s="21">
        <v>170.09</v>
      </c>
      <c r="I46" s="21">
        <v>16.5</v>
      </c>
      <c r="J46" s="21">
        <v>50.0</v>
      </c>
      <c r="K46" s="17">
        <v>18.81</v>
      </c>
    </row>
    <row r="47">
      <c r="A47" s="16" t="s">
        <v>23</v>
      </c>
      <c r="B47" s="21">
        <v>400.0</v>
      </c>
      <c r="C47" s="21">
        <v>48.0</v>
      </c>
      <c r="D47" s="21">
        <v>4952.0</v>
      </c>
      <c r="E47" s="21">
        <v>388.7</v>
      </c>
      <c r="F47" s="21">
        <v>287.07</v>
      </c>
      <c r="G47" s="21">
        <v>64.49</v>
      </c>
      <c r="H47" s="21">
        <v>184.22</v>
      </c>
      <c r="I47" s="21">
        <v>16.6</v>
      </c>
      <c r="J47" s="21">
        <v>50.0</v>
      </c>
      <c r="K47" s="17">
        <v>18.81</v>
      </c>
    </row>
    <row r="48">
      <c r="A48" s="16" t="s">
        <v>23</v>
      </c>
      <c r="B48" s="21">
        <v>500.0</v>
      </c>
      <c r="C48" s="21">
        <v>31.0</v>
      </c>
      <c r="D48" s="21">
        <v>4969.0</v>
      </c>
      <c r="E48" s="21">
        <v>488.0</v>
      </c>
      <c r="F48" s="21">
        <v>286.12</v>
      </c>
      <c r="G48" s="21">
        <v>95.36</v>
      </c>
      <c r="H48" s="21">
        <v>196.93</v>
      </c>
      <c r="I48" s="21">
        <v>16.7</v>
      </c>
      <c r="J48" s="21">
        <v>50.0</v>
      </c>
      <c r="K48" s="17">
        <v>18.81</v>
      </c>
    </row>
    <row r="49">
      <c r="A49" s="16" t="s">
        <v>23</v>
      </c>
      <c r="B49" s="21">
        <v>50.0</v>
      </c>
      <c r="C49" s="21">
        <v>39.0</v>
      </c>
      <c r="D49" s="21">
        <v>4961.0</v>
      </c>
      <c r="E49" s="21">
        <v>49.8</v>
      </c>
      <c r="F49" s="21">
        <v>287.89</v>
      </c>
      <c r="G49" s="21">
        <v>127.2</v>
      </c>
      <c r="H49" s="21">
        <v>212.72</v>
      </c>
      <c r="I49" s="21">
        <v>14.5</v>
      </c>
      <c r="J49" s="21">
        <v>100.0</v>
      </c>
      <c r="K49" s="17">
        <v>18.81</v>
      </c>
    </row>
    <row r="50">
      <c r="A50" s="16" t="s">
        <v>23</v>
      </c>
      <c r="B50" s="21">
        <v>100.0</v>
      </c>
      <c r="C50" s="21">
        <v>51.0</v>
      </c>
      <c r="D50" s="21">
        <v>4949.0</v>
      </c>
      <c r="E50" s="21">
        <v>99.1</v>
      </c>
      <c r="F50" s="21">
        <v>292.97</v>
      </c>
      <c r="G50" s="21">
        <v>171.13</v>
      </c>
      <c r="H50" s="21">
        <v>235.34</v>
      </c>
      <c r="I50" s="21">
        <v>15.5</v>
      </c>
      <c r="J50" s="21">
        <v>100.0</v>
      </c>
      <c r="K50" s="18">
        <f t="shared" ref="K50:K55" si="3">K38*5</f>
        <v>47.15</v>
      </c>
    </row>
    <row r="51">
      <c r="A51" s="16" t="s">
        <v>23</v>
      </c>
      <c r="B51" s="21">
        <v>200.0</v>
      </c>
      <c r="C51" s="21">
        <v>41.0</v>
      </c>
      <c r="D51" s="21">
        <v>4959.0</v>
      </c>
      <c r="E51" s="21">
        <v>197.0</v>
      </c>
      <c r="F51" s="21">
        <v>296.91</v>
      </c>
      <c r="G51" s="21">
        <v>200.07</v>
      </c>
      <c r="H51" s="21">
        <v>237.46</v>
      </c>
      <c r="I51" s="21">
        <v>16.1</v>
      </c>
      <c r="J51" s="21">
        <v>100.0</v>
      </c>
      <c r="K51" s="18">
        <f t="shared" si="3"/>
        <v>47.15</v>
      </c>
    </row>
    <row r="52">
      <c r="A52" s="16" t="s">
        <v>23</v>
      </c>
      <c r="B52" s="21">
        <v>300.0</v>
      </c>
      <c r="C52" s="21">
        <v>28.0</v>
      </c>
      <c r="D52" s="21">
        <v>4972.0</v>
      </c>
      <c r="E52" s="21">
        <v>288.6</v>
      </c>
      <c r="F52" s="21">
        <v>293.55</v>
      </c>
      <c r="G52" s="21">
        <v>220.31</v>
      </c>
      <c r="H52" s="21">
        <v>260.98</v>
      </c>
      <c r="I52" s="21">
        <v>16.2</v>
      </c>
      <c r="J52" s="21">
        <v>100.0</v>
      </c>
      <c r="K52" s="18">
        <f t="shared" si="3"/>
        <v>47.15</v>
      </c>
    </row>
    <row r="53">
      <c r="A53" s="16" t="s">
        <v>23</v>
      </c>
      <c r="B53" s="21">
        <v>400.0</v>
      </c>
      <c r="C53" s="21">
        <v>32.0</v>
      </c>
      <c r="D53" s="21">
        <v>4968.0</v>
      </c>
      <c r="E53" s="21">
        <v>386.8</v>
      </c>
      <c r="F53" s="21">
        <v>282.53</v>
      </c>
      <c r="G53" s="21">
        <v>229.99</v>
      </c>
      <c r="H53" s="21">
        <v>253.22</v>
      </c>
      <c r="I53" s="21">
        <v>16.3</v>
      </c>
      <c r="J53" s="21">
        <v>100.0</v>
      </c>
      <c r="K53" s="18">
        <f t="shared" si="3"/>
        <v>47.15</v>
      </c>
    </row>
    <row r="54">
      <c r="A54" s="16" t="s">
        <v>23</v>
      </c>
      <c r="B54" s="21">
        <v>500.0</v>
      </c>
      <c r="C54" s="21">
        <v>14.0</v>
      </c>
      <c r="D54" s="21">
        <v>4986.0</v>
      </c>
      <c r="E54" s="21">
        <v>481.2</v>
      </c>
      <c r="F54" s="21">
        <v>297.71</v>
      </c>
      <c r="G54" s="21">
        <v>235.18</v>
      </c>
      <c r="H54" s="21">
        <v>267.61</v>
      </c>
      <c r="I54" s="21">
        <v>16.4</v>
      </c>
      <c r="J54" s="21">
        <v>100.0</v>
      </c>
      <c r="K54" s="18">
        <f t="shared" si="3"/>
        <v>47.15</v>
      </c>
    </row>
    <row r="55">
      <c r="A55" s="16" t="s">
        <v>23</v>
      </c>
      <c r="B55" s="21">
        <v>50.0</v>
      </c>
      <c r="C55" s="21">
        <v>0.0</v>
      </c>
      <c r="D55" s="21">
        <v>5000.0</v>
      </c>
      <c r="E55" s="21">
        <v>49.8</v>
      </c>
      <c r="F55" s="16" t="s">
        <v>21</v>
      </c>
      <c r="G55" s="16" t="s">
        <v>21</v>
      </c>
      <c r="H55" s="16" t="s">
        <v>21</v>
      </c>
      <c r="I55" s="21">
        <v>14.3</v>
      </c>
      <c r="J55" s="21">
        <v>500.0</v>
      </c>
      <c r="K55" s="18">
        <f t="shared" si="3"/>
        <v>47.15</v>
      </c>
    </row>
    <row r="56">
      <c r="A56" s="16" t="s">
        <v>23</v>
      </c>
      <c r="B56" s="21">
        <v>100.0</v>
      </c>
      <c r="C56" s="21">
        <v>0.0</v>
      </c>
      <c r="D56" s="21">
        <v>5000.0</v>
      </c>
      <c r="E56" s="21">
        <v>99.4</v>
      </c>
      <c r="F56" s="16" t="s">
        <v>21</v>
      </c>
      <c r="G56" s="16" t="s">
        <v>21</v>
      </c>
      <c r="H56" s="16" t="s">
        <v>21</v>
      </c>
      <c r="I56" s="21">
        <v>15.4</v>
      </c>
      <c r="J56" s="21">
        <v>500.0</v>
      </c>
      <c r="K56" s="18">
        <f t="shared" ref="K56:K59" si="4">K52*2</f>
        <v>94.3</v>
      </c>
    </row>
    <row r="57">
      <c r="A57" s="16" t="s">
        <v>23</v>
      </c>
      <c r="B57" s="21">
        <v>200.0</v>
      </c>
      <c r="C57" s="21">
        <v>0.0</v>
      </c>
      <c r="D57" s="21">
        <v>5000.0</v>
      </c>
      <c r="E57" s="21">
        <v>195.7</v>
      </c>
      <c r="F57" s="16" t="s">
        <v>21</v>
      </c>
      <c r="G57" s="16" t="s">
        <v>21</v>
      </c>
      <c r="H57" s="16" t="s">
        <v>21</v>
      </c>
      <c r="I57" s="21">
        <v>16.0</v>
      </c>
      <c r="J57" s="21">
        <v>500.0</v>
      </c>
      <c r="K57" s="18">
        <f t="shared" si="4"/>
        <v>94.3</v>
      </c>
    </row>
    <row r="58">
      <c r="A58" s="16" t="s">
        <v>23</v>
      </c>
      <c r="B58" s="21">
        <v>300.0</v>
      </c>
      <c r="C58" s="21">
        <v>0.0</v>
      </c>
      <c r="D58" s="21">
        <v>5000.0</v>
      </c>
      <c r="E58" s="21">
        <v>295.6</v>
      </c>
      <c r="F58" s="16" t="s">
        <v>21</v>
      </c>
      <c r="G58" s="16" t="s">
        <v>21</v>
      </c>
      <c r="H58" s="16" t="s">
        <v>21</v>
      </c>
      <c r="I58" s="21">
        <v>16.3</v>
      </c>
      <c r="J58" s="21">
        <v>500.0</v>
      </c>
      <c r="K58" s="18">
        <f t="shared" si="4"/>
        <v>94.3</v>
      </c>
    </row>
    <row r="59">
      <c r="A59" s="16" t="s">
        <v>23</v>
      </c>
      <c r="B59" s="21">
        <v>400.0</v>
      </c>
      <c r="C59" s="21">
        <v>0.0</v>
      </c>
      <c r="D59" s="21">
        <v>5000.0</v>
      </c>
      <c r="E59" s="21">
        <v>389.5</v>
      </c>
      <c r="F59" s="16" t="s">
        <v>21</v>
      </c>
      <c r="G59" s="16" t="s">
        <v>21</v>
      </c>
      <c r="H59" s="16" t="s">
        <v>21</v>
      </c>
      <c r="I59" s="21">
        <v>16.4</v>
      </c>
      <c r="J59" s="21">
        <v>500.0</v>
      </c>
      <c r="K59" s="18">
        <f t="shared" si="4"/>
        <v>94.3</v>
      </c>
    </row>
    <row r="60">
      <c r="A60" s="16" t="s">
        <v>23</v>
      </c>
      <c r="B60" s="21">
        <v>500.0</v>
      </c>
      <c r="C60" s="21">
        <v>0.0</v>
      </c>
      <c r="D60" s="21">
        <v>5000.0</v>
      </c>
      <c r="E60" s="21">
        <v>485.1</v>
      </c>
      <c r="F60" s="16" t="s">
        <v>21</v>
      </c>
      <c r="G60" s="16" t="s">
        <v>21</v>
      </c>
      <c r="H60" s="16" t="s">
        <v>21</v>
      </c>
      <c r="I60" s="21">
        <v>16.5</v>
      </c>
      <c r="J60" s="21">
        <v>500.0</v>
      </c>
      <c r="K60" s="18">
        <v>94.3</v>
      </c>
    </row>
    <row r="61">
      <c r="A61" s="16" t="s">
        <v>37</v>
      </c>
      <c r="B61" s="21">
        <v>100.0</v>
      </c>
      <c r="C61" s="21">
        <v>5000.0</v>
      </c>
      <c r="D61" s="21">
        <v>0.0</v>
      </c>
      <c r="E61" s="21">
        <v>99.1</v>
      </c>
      <c r="F61" s="21">
        <v>7.15</v>
      </c>
      <c r="G61" s="21">
        <v>0.31</v>
      </c>
      <c r="H61" s="21">
        <v>3.37</v>
      </c>
      <c r="I61" s="21">
        <v>96.3</v>
      </c>
      <c r="K61" s="18">
        <v>94.3</v>
      </c>
    </row>
    <row r="62">
      <c r="A62" s="16" t="s">
        <v>37</v>
      </c>
      <c r="B62" s="21">
        <v>200.0</v>
      </c>
      <c r="C62" s="21">
        <v>3297.0</v>
      </c>
      <c r="D62" s="21">
        <v>1703.0</v>
      </c>
      <c r="E62" s="21">
        <v>197.7</v>
      </c>
      <c r="F62" s="21">
        <v>31.49</v>
      </c>
      <c r="G62" s="21">
        <v>0.41</v>
      </c>
      <c r="H62" s="21">
        <v>22.6</v>
      </c>
      <c r="I62" s="21">
        <v>116.6</v>
      </c>
      <c r="K62" s="18">
        <f>K61*5</f>
        <v>471.5</v>
      </c>
    </row>
    <row r="63">
      <c r="A63" s="16" t="s">
        <v>37</v>
      </c>
      <c r="B63" s="21">
        <v>300.0</v>
      </c>
      <c r="C63" s="21">
        <v>2774.0</v>
      </c>
      <c r="D63" s="21">
        <v>2226.0</v>
      </c>
      <c r="E63" s="21">
        <v>291.2</v>
      </c>
      <c r="F63" s="21">
        <v>30.59</v>
      </c>
      <c r="G63" s="21">
        <v>0.41</v>
      </c>
      <c r="H63" s="21">
        <v>23.83</v>
      </c>
      <c r="I63" s="21">
        <v>140.0</v>
      </c>
      <c r="K63" s="18">
        <v>471.5</v>
      </c>
    </row>
    <row r="64">
      <c r="A64" s="16" t="s">
        <v>37</v>
      </c>
      <c r="B64" s="21">
        <v>400.0</v>
      </c>
      <c r="C64" s="21">
        <v>2612.0</v>
      </c>
      <c r="D64" s="21">
        <v>2388.0</v>
      </c>
      <c r="E64" s="21">
        <v>390.6</v>
      </c>
      <c r="F64" s="21">
        <v>22.06</v>
      </c>
      <c r="G64" s="21">
        <v>0.46</v>
      </c>
      <c r="H64" s="21">
        <v>17.33</v>
      </c>
      <c r="I64" s="21">
        <v>202.0</v>
      </c>
      <c r="K64" s="18">
        <v>471.5</v>
      </c>
    </row>
    <row r="65">
      <c r="A65" s="16" t="s">
        <v>37</v>
      </c>
      <c r="B65" s="21">
        <v>500.0</v>
      </c>
      <c r="C65" s="21">
        <v>2559.0</v>
      </c>
      <c r="D65" s="21">
        <v>2441.0</v>
      </c>
      <c r="E65" s="21">
        <v>478.5</v>
      </c>
      <c r="F65" s="21">
        <v>23.26</v>
      </c>
      <c r="G65" s="21">
        <v>0.49</v>
      </c>
      <c r="H65" s="21">
        <v>19.74</v>
      </c>
      <c r="I65" s="21">
        <v>190.8</v>
      </c>
      <c r="K65" s="18">
        <v>471.5</v>
      </c>
    </row>
    <row r="66">
      <c r="K66" s="18">
        <v>471.5</v>
      </c>
    </row>
    <row r="67">
      <c r="K67" s="18">
        <v>471.5</v>
      </c>
    </row>
    <row r="68">
      <c r="K68" s="18">
        <f>K67*2</f>
        <v>943</v>
      </c>
    </row>
    <row r="69">
      <c r="K69" s="18">
        <v>943.0</v>
      </c>
    </row>
    <row r="70">
      <c r="K70" s="18">
        <v>943.0</v>
      </c>
    </row>
    <row r="71">
      <c r="K71" s="18">
        <v>943.0</v>
      </c>
    </row>
    <row r="72">
      <c r="K72" s="18">
        <v>943.0</v>
      </c>
    </row>
    <row r="73">
      <c r="K73" s="18">
        <v>943.0</v>
      </c>
    </row>
  </sheetData>
  <drawing r:id="rId1"/>
</worksheet>
</file>